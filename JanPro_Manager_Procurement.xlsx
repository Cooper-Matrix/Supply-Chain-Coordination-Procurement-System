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oper\Downloads\"/>
    </mc:Choice>
  </mc:AlternateContent>
  <xr:revisionPtr revIDLastSave="0" documentId="8_{69742946-C8F6-4CDC-8CCB-5C41E09BF1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RT HERE" sheetId="1" r:id="rId1"/>
    <sheet name="Manager Dashboard" sheetId="2" r:id="rId2"/>
    <sheet name="Contracts" sheetId="3" r:id="rId3"/>
    <sheet name="Employees" sheetId="4" r:id="rId4"/>
    <sheet name="Supply Catalog" sheetId="5" r:id="rId5"/>
    <sheet name="Inventory" sheetId="6" r:id="rId6"/>
    <sheet name="Vendors" sheetId="7" r:id="rId7"/>
    <sheet name="Supply Forecast" sheetId="8" r:id="rId8"/>
    <sheet name="Purchase Orders" sheetId="9" r:id="rId9"/>
    <sheet name="Usage Log" sheetId="10" r:id="rId10"/>
    <sheet name="Setting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0" l="1"/>
  <c r="I23" i="10"/>
  <c r="H23" i="10"/>
  <c r="D23" i="10"/>
  <c r="J22" i="10"/>
  <c r="I22" i="10"/>
  <c r="H22" i="10"/>
  <c r="D22" i="10"/>
  <c r="J21" i="10"/>
  <c r="I21" i="10"/>
  <c r="H21" i="10"/>
  <c r="D21" i="10"/>
  <c r="J20" i="10"/>
  <c r="I20" i="10"/>
  <c r="H20" i="10"/>
  <c r="D20" i="10"/>
  <c r="J19" i="10"/>
  <c r="I19" i="10"/>
  <c r="H19" i="10"/>
  <c r="D19" i="10"/>
  <c r="J18" i="10"/>
  <c r="I18" i="10"/>
  <c r="H18" i="10"/>
  <c r="D18" i="10"/>
  <c r="J17" i="10"/>
  <c r="I17" i="10"/>
  <c r="H17" i="10"/>
  <c r="D17" i="10"/>
  <c r="J16" i="10"/>
  <c r="I16" i="10"/>
  <c r="H16" i="10"/>
  <c r="D16" i="10"/>
  <c r="J15" i="10"/>
  <c r="I15" i="10"/>
  <c r="H15" i="10"/>
  <c r="D15" i="10"/>
  <c r="J14" i="10"/>
  <c r="I14" i="10"/>
  <c r="H14" i="10"/>
  <c r="D14" i="10"/>
  <c r="J13" i="10"/>
  <c r="I13" i="10"/>
  <c r="H13" i="10"/>
  <c r="D13" i="10"/>
  <c r="J12" i="10"/>
  <c r="I12" i="10"/>
  <c r="H12" i="10"/>
  <c r="D12" i="10"/>
  <c r="J11" i="10"/>
  <c r="I11" i="10"/>
  <c r="H11" i="10"/>
  <c r="D11" i="10"/>
  <c r="J10" i="10"/>
  <c r="I10" i="10"/>
  <c r="H10" i="10"/>
  <c r="D10" i="10"/>
  <c r="J9" i="10"/>
  <c r="I9" i="10"/>
  <c r="H9" i="10"/>
  <c r="D9" i="10"/>
  <c r="J8" i="10"/>
  <c r="I8" i="10"/>
  <c r="H8" i="10"/>
  <c r="D8" i="10"/>
  <c r="J7" i="10"/>
  <c r="I7" i="10"/>
  <c r="H7" i="10"/>
  <c r="D7" i="10"/>
  <c r="J6" i="10"/>
  <c r="I6" i="10"/>
  <c r="H6" i="10"/>
  <c r="D6" i="10"/>
  <c r="J5" i="10"/>
  <c r="I5" i="10"/>
  <c r="H5" i="10"/>
  <c r="D5" i="10"/>
  <c r="J4" i="10"/>
  <c r="I4" i="10"/>
  <c r="H4" i="10"/>
  <c r="D4" i="10"/>
  <c r="F13" i="9"/>
  <c r="F12" i="9"/>
  <c r="F11" i="9"/>
  <c r="F10" i="9"/>
  <c r="F9" i="9"/>
  <c r="F8" i="9"/>
  <c r="F7" i="9"/>
  <c r="F6" i="9"/>
  <c r="F5" i="9"/>
  <c r="F4" i="9"/>
  <c r="L123" i="8"/>
  <c r="I123" i="8"/>
  <c r="G123" i="8"/>
  <c r="F123" i="8"/>
  <c r="E123" i="8"/>
  <c r="D123" i="8"/>
  <c r="H123" i="8" s="1"/>
  <c r="L122" i="8"/>
  <c r="I122" i="8"/>
  <c r="G122" i="8"/>
  <c r="F122" i="8"/>
  <c r="E122" i="8"/>
  <c r="D122" i="8"/>
  <c r="H122" i="8" s="1"/>
  <c r="L121" i="8"/>
  <c r="I121" i="8"/>
  <c r="G121" i="8"/>
  <c r="F121" i="8"/>
  <c r="E121" i="8"/>
  <c r="D121" i="8"/>
  <c r="H121" i="8" s="1"/>
  <c r="L120" i="8"/>
  <c r="I120" i="8"/>
  <c r="G120" i="8"/>
  <c r="F120" i="8"/>
  <c r="E120" i="8"/>
  <c r="D120" i="8"/>
  <c r="H120" i="8" s="1"/>
  <c r="L119" i="8"/>
  <c r="I119" i="8"/>
  <c r="G119" i="8"/>
  <c r="F119" i="8"/>
  <c r="D119" i="8"/>
  <c r="H119" i="8" s="1"/>
  <c r="L118" i="8"/>
  <c r="I118" i="8"/>
  <c r="G118" i="8"/>
  <c r="F118" i="8"/>
  <c r="D118" i="8"/>
  <c r="H118" i="8" s="1"/>
  <c r="L117" i="8"/>
  <c r="I117" i="8"/>
  <c r="G117" i="8"/>
  <c r="F117" i="8"/>
  <c r="D117" i="8"/>
  <c r="H117" i="8" s="1"/>
  <c r="L116" i="8"/>
  <c r="I116" i="8"/>
  <c r="G116" i="8"/>
  <c r="F116" i="8"/>
  <c r="D116" i="8"/>
  <c r="H116" i="8" s="1"/>
  <c r="L115" i="8"/>
  <c r="I115" i="8"/>
  <c r="G115" i="8"/>
  <c r="F115" i="8"/>
  <c r="D115" i="8"/>
  <c r="H115" i="8" s="1"/>
  <c r="L114" i="8"/>
  <c r="I114" i="8"/>
  <c r="G114" i="8"/>
  <c r="F114" i="8"/>
  <c r="D114" i="8"/>
  <c r="H114" i="8" s="1"/>
  <c r="L113" i="8"/>
  <c r="I113" i="8"/>
  <c r="G113" i="8"/>
  <c r="F113" i="8"/>
  <c r="D113" i="8"/>
  <c r="H113" i="8" s="1"/>
  <c r="L112" i="8"/>
  <c r="I112" i="8"/>
  <c r="G112" i="8"/>
  <c r="F112" i="8"/>
  <c r="D112" i="8"/>
  <c r="H112" i="8" s="1"/>
  <c r="L111" i="8"/>
  <c r="I111" i="8"/>
  <c r="G111" i="8"/>
  <c r="F111" i="8"/>
  <c r="E111" i="8"/>
  <c r="D111" i="8"/>
  <c r="H111" i="8" s="1"/>
  <c r="L110" i="8"/>
  <c r="I110" i="8"/>
  <c r="G110" i="8"/>
  <c r="F110" i="8"/>
  <c r="E110" i="8"/>
  <c r="D110" i="8"/>
  <c r="H110" i="8" s="1"/>
  <c r="L109" i="8"/>
  <c r="I109" i="8"/>
  <c r="G109" i="8"/>
  <c r="F109" i="8"/>
  <c r="E109" i="8"/>
  <c r="D109" i="8"/>
  <c r="H109" i="8" s="1"/>
  <c r="L108" i="8"/>
  <c r="I108" i="8"/>
  <c r="G108" i="8"/>
  <c r="F108" i="8"/>
  <c r="E108" i="8"/>
  <c r="D108" i="8"/>
  <c r="H108" i="8" s="1"/>
  <c r="L107" i="8"/>
  <c r="I107" i="8"/>
  <c r="G107" i="8"/>
  <c r="F107" i="8"/>
  <c r="E107" i="8"/>
  <c r="D107" i="8"/>
  <c r="H107" i="8" s="1"/>
  <c r="L106" i="8"/>
  <c r="I106" i="8"/>
  <c r="G106" i="8"/>
  <c r="F106" i="8"/>
  <c r="E106" i="8"/>
  <c r="D106" i="8"/>
  <c r="H106" i="8" s="1"/>
  <c r="L105" i="8"/>
  <c r="I105" i="8"/>
  <c r="G105" i="8"/>
  <c r="F105" i="8"/>
  <c r="E105" i="8"/>
  <c r="D105" i="8"/>
  <c r="H105" i="8" s="1"/>
  <c r="L104" i="8"/>
  <c r="I104" i="8"/>
  <c r="G104" i="8"/>
  <c r="F104" i="8"/>
  <c r="E104" i="8"/>
  <c r="D104" i="8"/>
  <c r="H104" i="8" s="1"/>
  <c r="L103" i="8"/>
  <c r="I103" i="8"/>
  <c r="G103" i="8"/>
  <c r="F103" i="8"/>
  <c r="E103" i="8"/>
  <c r="D103" i="8"/>
  <c r="H103" i="8" s="1"/>
  <c r="L102" i="8"/>
  <c r="I102" i="8"/>
  <c r="G102" i="8"/>
  <c r="F102" i="8"/>
  <c r="E102" i="8"/>
  <c r="D102" i="8"/>
  <c r="H102" i="8" s="1"/>
  <c r="L101" i="8"/>
  <c r="I101" i="8"/>
  <c r="G101" i="8"/>
  <c r="F101" i="8"/>
  <c r="E101" i="8"/>
  <c r="D101" i="8"/>
  <c r="H101" i="8" s="1"/>
  <c r="L100" i="8"/>
  <c r="I100" i="8"/>
  <c r="G100" i="8"/>
  <c r="F100" i="8"/>
  <c r="E100" i="8"/>
  <c r="D100" i="8"/>
  <c r="H100" i="8" s="1"/>
  <c r="L99" i="8"/>
  <c r="I99" i="8"/>
  <c r="H99" i="8"/>
  <c r="G99" i="8"/>
  <c r="F99" i="8"/>
  <c r="D99" i="8"/>
  <c r="L98" i="8"/>
  <c r="I98" i="8"/>
  <c r="G98" i="8"/>
  <c r="F98" i="8"/>
  <c r="D98" i="8"/>
  <c r="H98" i="8" s="1"/>
  <c r="L97" i="8"/>
  <c r="I97" i="8"/>
  <c r="G97" i="8"/>
  <c r="F97" i="8"/>
  <c r="D97" i="8"/>
  <c r="H97" i="8" s="1"/>
  <c r="L96" i="8"/>
  <c r="I96" i="8"/>
  <c r="G96" i="8"/>
  <c r="F96" i="8"/>
  <c r="D96" i="8"/>
  <c r="H96" i="8" s="1"/>
  <c r="L95" i="8"/>
  <c r="I95" i="8"/>
  <c r="G95" i="8"/>
  <c r="F95" i="8"/>
  <c r="D95" i="8"/>
  <c r="H95" i="8" s="1"/>
  <c r="L94" i="8"/>
  <c r="I94" i="8"/>
  <c r="G94" i="8"/>
  <c r="F94" i="8"/>
  <c r="D94" i="8"/>
  <c r="H94" i="8" s="1"/>
  <c r="L93" i="8"/>
  <c r="I93" i="8"/>
  <c r="G93" i="8"/>
  <c r="F93" i="8"/>
  <c r="D93" i="8"/>
  <c r="H93" i="8" s="1"/>
  <c r="L92" i="8"/>
  <c r="I92" i="8"/>
  <c r="G92" i="8"/>
  <c r="F92" i="8"/>
  <c r="D92" i="8"/>
  <c r="H92" i="8" s="1"/>
  <c r="L91" i="8"/>
  <c r="I91" i="8"/>
  <c r="G91" i="8"/>
  <c r="F91" i="8"/>
  <c r="D91" i="8"/>
  <c r="H91" i="8" s="1"/>
  <c r="L90" i="8"/>
  <c r="I90" i="8"/>
  <c r="G90" i="8"/>
  <c r="F90" i="8"/>
  <c r="D90" i="8"/>
  <c r="H90" i="8" s="1"/>
  <c r="L89" i="8"/>
  <c r="I89" i="8"/>
  <c r="G89" i="8"/>
  <c r="F89" i="8"/>
  <c r="E89" i="8"/>
  <c r="D89" i="8"/>
  <c r="H89" i="8" s="1"/>
  <c r="L88" i="8"/>
  <c r="I88" i="8"/>
  <c r="G88" i="8"/>
  <c r="F88" i="8"/>
  <c r="E88" i="8"/>
  <c r="D88" i="8"/>
  <c r="H88" i="8" s="1"/>
  <c r="L87" i="8"/>
  <c r="I87" i="8"/>
  <c r="G87" i="8"/>
  <c r="F87" i="8"/>
  <c r="E87" i="8"/>
  <c r="D87" i="8"/>
  <c r="H87" i="8" s="1"/>
  <c r="L86" i="8"/>
  <c r="I86" i="8"/>
  <c r="G86" i="8"/>
  <c r="F86" i="8"/>
  <c r="E86" i="8"/>
  <c r="D86" i="8"/>
  <c r="H86" i="8" s="1"/>
  <c r="L85" i="8"/>
  <c r="I85" i="8"/>
  <c r="G85" i="8"/>
  <c r="F85" i="8"/>
  <c r="E85" i="8"/>
  <c r="D85" i="8"/>
  <c r="H85" i="8" s="1"/>
  <c r="L84" i="8"/>
  <c r="I84" i="8"/>
  <c r="G84" i="8"/>
  <c r="F84" i="8"/>
  <c r="E84" i="8"/>
  <c r="D84" i="8"/>
  <c r="H84" i="8" s="1"/>
  <c r="L83" i="8"/>
  <c r="I83" i="8"/>
  <c r="G83" i="8"/>
  <c r="F83" i="8"/>
  <c r="E83" i="8"/>
  <c r="D83" i="8"/>
  <c r="H83" i="8" s="1"/>
  <c r="L82" i="8"/>
  <c r="I82" i="8"/>
  <c r="G82" i="8"/>
  <c r="F82" i="8"/>
  <c r="E82" i="8"/>
  <c r="D82" i="8"/>
  <c r="H82" i="8" s="1"/>
  <c r="L81" i="8"/>
  <c r="I81" i="8"/>
  <c r="G81" i="8"/>
  <c r="F81" i="8"/>
  <c r="E81" i="8"/>
  <c r="D81" i="8"/>
  <c r="H81" i="8" s="1"/>
  <c r="L80" i="8"/>
  <c r="I80" i="8"/>
  <c r="G80" i="8"/>
  <c r="F80" i="8"/>
  <c r="E80" i="8"/>
  <c r="J80" i="8" s="1"/>
  <c r="K80" i="8" s="1"/>
  <c r="D80" i="8"/>
  <c r="H80" i="8" s="1"/>
  <c r="L79" i="8"/>
  <c r="I79" i="8"/>
  <c r="G79" i="8"/>
  <c r="F79" i="8"/>
  <c r="E79" i="8"/>
  <c r="D79" i="8"/>
  <c r="H79" i="8" s="1"/>
  <c r="L78" i="8"/>
  <c r="I78" i="8"/>
  <c r="G78" i="8"/>
  <c r="F78" i="8"/>
  <c r="E78" i="8"/>
  <c r="D78" i="8"/>
  <c r="H78" i="8" s="1"/>
  <c r="L77" i="8"/>
  <c r="I77" i="8"/>
  <c r="G77" i="8"/>
  <c r="F77" i="8"/>
  <c r="E77" i="8"/>
  <c r="D77" i="8"/>
  <c r="H77" i="8" s="1"/>
  <c r="L76" i="8"/>
  <c r="I76" i="8"/>
  <c r="G76" i="8"/>
  <c r="F76" i="8"/>
  <c r="E76" i="8"/>
  <c r="D76" i="8"/>
  <c r="H76" i="8" s="1"/>
  <c r="L75" i="8"/>
  <c r="I75" i="8"/>
  <c r="G75" i="8"/>
  <c r="F75" i="8"/>
  <c r="E75" i="8"/>
  <c r="D75" i="8"/>
  <c r="H75" i="8" s="1"/>
  <c r="L74" i="8"/>
  <c r="I74" i="8"/>
  <c r="G74" i="8"/>
  <c r="F74" i="8"/>
  <c r="E74" i="8"/>
  <c r="D74" i="8"/>
  <c r="H74" i="8" s="1"/>
  <c r="L73" i="8"/>
  <c r="I73" i="8"/>
  <c r="G73" i="8"/>
  <c r="F73" i="8"/>
  <c r="E73" i="8"/>
  <c r="D73" i="8"/>
  <c r="H73" i="8" s="1"/>
  <c r="L72" i="8"/>
  <c r="I72" i="8"/>
  <c r="G72" i="8"/>
  <c r="F72" i="8"/>
  <c r="E72" i="8"/>
  <c r="D72" i="8"/>
  <c r="H72" i="8" s="1"/>
  <c r="L71" i="8"/>
  <c r="I71" i="8"/>
  <c r="G71" i="8"/>
  <c r="F71" i="8"/>
  <c r="E71" i="8"/>
  <c r="D71" i="8"/>
  <c r="H71" i="8" s="1"/>
  <c r="L70" i="8"/>
  <c r="I70" i="8"/>
  <c r="G70" i="8"/>
  <c r="F70" i="8"/>
  <c r="E70" i="8"/>
  <c r="D70" i="8"/>
  <c r="H70" i="8" s="1"/>
  <c r="L69" i="8"/>
  <c r="I69" i="8"/>
  <c r="G69" i="8"/>
  <c r="F69" i="8"/>
  <c r="E69" i="8"/>
  <c r="D69" i="8"/>
  <c r="H69" i="8" s="1"/>
  <c r="L68" i="8"/>
  <c r="I68" i="8"/>
  <c r="G68" i="8"/>
  <c r="F68" i="8"/>
  <c r="E68" i="8"/>
  <c r="D68" i="8"/>
  <c r="H68" i="8" s="1"/>
  <c r="L67" i="8"/>
  <c r="I67" i="8"/>
  <c r="G67" i="8"/>
  <c r="F67" i="8"/>
  <c r="E67" i="8"/>
  <c r="D67" i="8"/>
  <c r="H67" i="8" s="1"/>
  <c r="L66" i="8"/>
  <c r="I66" i="8"/>
  <c r="G66" i="8"/>
  <c r="F66" i="8"/>
  <c r="E66" i="8"/>
  <c r="D66" i="8"/>
  <c r="H66" i="8" s="1"/>
  <c r="L65" i="8"/>
  <c r="I65" i="8"/>
  <c r="G65" i="8"/>
  <c r="F65" i="8"/>
  <c r="E65" i="8"/>
  <c r="D65" i="8"/>
  <c r="H65" i="8" s="1"/>
  <c r="L64" i="8"/>
  <c r="I64" i="8"/>
  <c r="G64" i="8"/>
  <c r="F64" i="8"/>
  <c r="E64" i="8"/>
  <c r="D64" i="8"/>
  <c r="H64" i="8" s="1"/>
  <c r="L63" i="8"/>
  <c r="I63" i="8"/>
  <c r="G63" i="8"/>
  <c r="F63" i="8"/>
  <c r="E63" i="8"/>
  <c r="D63" i="8"/>
  <c r="H63" i="8" s="1"/>
  <c r="L62" i="8"/>
  <c r="I62" i="8"/>
  <c r="G62" i="8"/>
  <c r="F62" i="8"/>
  <c r="E62" i="8"/>
  <c r="D62" i="8"/>
  <c r="H62" i="8" s="1"/>
  <c r="L61" i="8"/>
  <c r="I61" i="8"/>
  <c r="G61" i="8"/>
  <c r="F61" i="8"/>
  <c r="E61" i="8"/>
  <c r="D61" i="8"/>
  <c r="H61" i="8" s="1"/>
  <c r="L60" i="8"/>
  <c r="I60" i="8"/>
  <c r="G60" i="8"/>
  <c r="F60" i="8"/>
  <c r="E60" i="8"/>
  <c r="D60" i="8"/>
  <c r="H60" i="8" s="1"/>
  <c r="L59" i="8"/>
  <c r="I59" i="8"/>
  <c r="G59" i="8"/>
  <c r="F59" i="8"/>
  <c r="E59" i="8"/>
  <c r="D59" i="8"/>
  <c r="H59" i="8" s="1"/>
  <c r="L58" i="8"/>
  <c r="I58" i="8"/>
  <c r="G58" i="8"/>
  <c r="F58" i="8"/>
  <c r="E58" i="8"/>
  <c r="D58" i="8"/>
  <c r="H58" i="8" s="1"/>
  <c r="L57" i="8"/>
  <c r="I57" i="8"/>
  <c r="G57" i="8"/>
  <c r="F57" i="8"/>
  <c r="E57" i="8"/>
  <c r="D57" i="8"/>
  <c r="H57" i="8" s="1"/>
  <c r="L56" i="8"/>
  <c r="I56" i="8"/>
  <c r="G56" i="8"/>
  <c r="F56" i="8"/>
  <c r="E56" i="8"/>
  <c r="D56" i="8"/>
  <c r="H56" i="8" s="1"/>
  <c r="L55" i="8"/>
  <c r="I55" i="8"/>
  <c r="G55" i="8"/>
  <c r="F55" i="8"/>
  <c r="E55" i="8"/>
  <c r="D55" i="8"/>
  <c r="H55" i="8" s="1"/>
  <c r="L54" i="8"/>
  <c r="I54" i="8"/>
  <c r="G54" i="8"/>
  <c r="F54" i="8"/>
  <c r="E54" i="8"/>
  <c r="D54" i="8"/>
  <c r="H54" i="8" s="1"/>
  <c r="L53" i="8"/>
  <c r="I53" i="8"/>
  <c r="G53" i="8"/>
  <c r="F53" i="8"/>
  <c r="E53" i="8"/>
  <c r="D53" i="8"/>
  <c r="H53" i="8" s="1"/>
  <c r="L52" i="8"/>
  <c r="I52" i="8"/>
  <c r="G52" i="8"/>
  <c r="F52" i="8"/>
  <c r="E52" i="8"/>
  <c r="D52" i="8"/>
  <c r="H52" i="8" s="1"/>
  <c r="L51" i="8"/>
  <c r="I51" i="8"/>
  <c r="G51" i="8"/>
  <c r="F51" i="8"/>
  <c r="E51" i="8"/>
  <c r="D51" i="8"/>
  <c r="H51" i="8" s="1"/>
  <c r="L50" i="8"/>
  <c r="I50" i="8"/>
  <c r="G50" i="8"/>
  <c r="F50" i="8"/>
  <c r="E50" i="8"/>
  <c r="D50" i="8"/>
  <c r="H50" i="8" s="1"/>
  <c r="L49" i="8"/>
  <c r="I49" i="8"/>
  <c r="G49" i="8"/>
  <c r="F49" i="8"/>
  <c r="E49" i="8"/>
  <c r="D49" i="8"/>
  <c r="H49" i="8" s="1"/>
  <c r="L48" i="8"/>
  <c r="I48" i="8"/>
  <c r="G48" i="8"/>
  <c r="F48" i="8"/>
  <c r="E48" i="8"/>
  <c r="D48" i="8"/>
  <c r="H48" i="8" s="1"/>
  <c r="L47" i="8"/>
  <c r="I47" i="8"/>
  <c r="G47" i="8"/>
  <c r="F47" i="8"/>
  <c r="E47" i="8"/>
  <c r="D47" i="8"/>
  <c r="H47" i="8" s="1"/>
  <c r="L46" i="8"/>
  <c r="I46" i="8"/>
  <c r="G46" i="8"/>
  <c r="F46" i="8"/>
  <c r="E46" i="8"/>
  <c r="D46" i="8"/>
  <c r="H46" i="8" s="1"/>
  <c r="L45" i="8"/>
  <c r="I45" i="8"/>
  <c r="G45" i="8"/>
  <c r="F45" i="8"/>
  <c r="E45" i="8"/>
  <c r="D45" i="8"/>
  <c r="H45" i="8" s="1"/>
  <c r="L44" i="8"/>
  <c r="I44" i="8"/>
  <c r="G44" i="8"/>
  <c r="F44" i="8"/>
  <c r="E44" i="8"/>
  <c r="D44" i="8"/>
  <c r="H44" i="8" s="1"/>
  <c r="L43" i="8"/>
  <c r="I43" i="8"/>
  <c r="G43" i="8"/>
  <c r="F43" i="8"/>
  <c r="E43" i="8"/>
  <c r="D43" i="8"/>
  <c r="H43" i="8" s="1"/>
  <c r="L42" i="8"/>
  <c r="I42" i="8"/>
  <c r="G42" i="8"/>
  <c r="F42" i="8"/>
  <c r="E42" i="8"/>
  <c r="D42" i="8"/>
  <c r="H42" i="8" s="1"/>
  <c r="L41" i="8"/>
  <c r="I41" i="8"/>
  <c r="G41" i="8"/>
  <c r="F41" i="8"/>
  <c r="E41" i="8"/>
  <c r="D41" i="8"/>
  <c r="H41" i="8" s="1"/>
  <c r="L40" i="8"/>
  <c r="I40" i="8"/>
  <c r="G40" i="8"/>
  <c r="F40" i="8"/>
  <c r="E40" i="8"/>
  <c r="D40" i="8"/>
  <c r="H40" i="8" s="1"/>
  <c r="L39" i="8"/>
  <c r="I39" i="8"/>
  <c r="G39" i="8"/>
  <c r="F39" i="8"/>
  <c r="E39" i="8"/>
  <c r="D39" i="8"/>
  <c r="H39" i="8" s="1"/>
  <c r="L38" i="8"/>
  <c r="I38" i="8"/>
  <c r="G38" i="8"/>
  <c r="F38" i="8"/>
  <c r="E38" i="8"/>
  <c r="D38" i="8"/>
  <c r="H38" i="8" s="1"/>
  <c r="L37" i="8"/>
  <c r="I37" i="8"/>
  <c r="J37" i="8" s="1"/>
  <c r="K37" i="8" s="1"/>
  <c r="H37" i="8"/>
  <c r="G37" i="8"/>
  <c r="F37" i="8"/>
  <c r="E37" i="8"/>
  <c r="D37" i="8"/>
  <c r="L36" i="8"/>
  <c r="I36" i="8"/>
  <c r="G36" i="8"/>
  <c r="F36" i="8"/>
  <c r="E36" i="8"/>
  <c r="D36" i="8"/>
  <c r="H36" i="8" s="1"/>
  <c r="L35" i="8"/>
  <c r="I35" i="8"/>
  <c r="G35" i="8"/>
  <c r="F35" i="8"/>
  <c r="E35" i="8"/>
  <c r="D35" i="8"/>
  <c r="H35" i="8" s="1"/>
  <c r="L34" i="8"/>
  <c r="I34" i="8"/>
  <c r="G34" i="8"/>
  <c r="F34" i="8"/>
  <c r="E34" i="8"/>
  <c r="D34" i="8"/>
  <c r="H34" i="8" s="1"/>
  <c r="L33" i="8"/>
  <c r="I33" i="8"/>
  <c r="G33" i="8"/>
  <c r="F33" i="8"/>
  <c r="E33" i="8"/>
  <c r="D33" i="8"/>
  <c r="H33" i="8" s="1"/>
  <c r="L32" i="8"/>
  <c r="I32" i="8"/>
  <c r="G32" i="8"/>
  <c r="F32" i="8"/>
  <c r="E32" i="8"/>
  <c r="D32" i="8"/>
  <c r="H32" i="8" s="1"/>
  <c r="L31" i="8"/>
  <c r="I31" i="8"/>
  <c r="G31" i="8"/>
  <c r="F31" i="8"/>
  <c r="E31" i="8"/>
  <c r="D31" i="8"/>
  <c r="H31" i="8" s="1"/>
  <c r="L30" i="8"/>
  <c r="I30" i="8"/>
  <c r="G30" i="8"/>
  <c r="F30" i="8"/>
  <c r="E30" i="8"/>
  <c r="D30" i="8"/>
  <c r="H30" i="8" s="1"/>
  <c r="L29" i="8"/>
  <c r="I29" i="8"/>
  <c r="G29" i="8"/>
  <c r="F29" i="8"/>
  <c r="E29" i="8"/>
  <c r="D29" i="8"/>
  <c r="H29" i="8" s="1"/>
  <c r="L28" i="8"/>
  <c r="I28" i="8"/>
  <c r="G28" i="8"/>
  <c r="F28" i="8"/>
  <c r="E28" i="8"/>
  <c r="D28" i="8"/>
  <c r="H28" i="8" s="1"/>
  <c r="L27" i="8"/>
  <c r="I27" i="8"/>
  <c r="G27" i="8"/>
  <c r="F27" i="8"/>
  <c r="E27" i="8"/>
  <c r="D27" i="8"/>
  <c r="H27" i="8" s="1"/>
  <c r="L26" i="8"/>
  <c r="I26" i="8"/>
  <c r="G26" i="8"/>
  <c r="F26" i="8"/>
  <c r="E26" i="8"/>
  <c r="D26" i="8"/>
  <c r="H26" i="8" s="1"/>
  <c r="L25" i="8"/>
  <c r="I25" i="8"/>
  <c r="G25" i="8"/>
  <c r="F25" i="8"/>
  <c r="E25" i="8"/>
  <c r="D25" i="8"/>
  <c r="H25" i="8" s="1"/>
  <c r="L24" i="8"/>
  <c r="I24" i="8"/>
  <c r="G24" i="8"/>
  <c r="F24" i="8"/>
  <c r="E24" i="8"/>
  <c r="D24" i="8"/>
  <c r="H24" i="8" s="1"/>
  <c r="L23" i="8"/>
  <c r="I23" i="8"/>
  <c r="G23" i="8"/>
  <c r="F23" i="8"/>
  <c r="E23" i="8"/>
  <c r="D23" i="8"/>
  <c r="H23" i="8" s="1"/>
  <c r="L22" i="8"/>
  <c r="I22" i="8"/>
  <c r="G22" i="8"/>
  <c r="F22" i="8"/>
  <c r="E22" i="8"/>
  <c r="D22" i="8"/>
  <c r="H22" i="8" s="1"/>
  <c r="L21" i="8"/>
  <c r="I21" i="8"/>
  <c r="G21" i="8"/>
  <c r="F21" i="8"/>
  <c r="E21" i="8"/>
  <c r="D21" i="8"/>
  <c r="H21" i="8" s="1"/>
  <c r="L20" i="8"/>
  <c r="I20" i="8"/>
  <c r="G20" i="8"/>
  <c r="F20" i="8"/>
  <c r="E20" i="8"/>
  <c r="D20" i="8"/>
  <c r="H20" i="8" s="1"/>
  <c r="L19" i="8"/>
  <c r="I19" i="8"/>
  <c r="G19" i="8"/>
  <c r="F19" i="8"/>
  <c r="E19" i="8"/>
  <c r="D19" i="8"/>
  <c r="H19" i="8" s="1"/>
  <c r="L18" i="8"/>
  <c r="I18" i="8"/>
  <c r="G18" i="8"/>
  <c r="F18" i="8"/>
  <c r="E18" i="8"/>
  <c r="D18" i="8"/>
  <c r="H18" i="8" s="1"/>
  <c r="L17" i="8"/>
  <c r="I17" i="8"/>
  <c r="G17" i="8"/>
  <c r="F17" i="8"/>
  <c r="E17" i="8"/>
  <c r="D17" i="8"/>
  <c r="H17" i="8" s="1"/>
  <c r="L16" i="8"/>
  <c r="I16" i="8"/>
  <c r="G16" i="8"/>
  <c r="F16" i="8"/>
  <c r="D16" i="8"/>
  <c r="H16" i="8" s="1"/>
  <c r="L15" i="8"/>
  <c r="I15" i="8"/>
  <c r="G15" i="8"/>
  <c r="F15" i="8"/>
  <c r="D15" i="8"/>
  <c r="H15" i="8" s="1"/>
  <c r="L14" i="8"/>
  <c r="I14" i="8"/>
  <c r="G14" i="8"/>
  <c r="F14" i="8"/>
  <c r="D14" i="8"/>
  <c r="H14" i="8" s="1"/>
  <c r="L13" i="8"/>
  <c r="I13" i="8"/>
  <c r="G13" i="8"/>
  <c r="F13" i="8"/>
  <c r="D13" i="8"/>
  <c r="H13" i="8" s="1"/>
  <c r="L12" i="8"/>
  <c r="I12" i="8"/>
  <c r="G12" i="8"/>
  <c r="F12" i="8"/>
  <c r="D12" i="8"/>
  <c r="H12" i="8" s="1"/>
  <c r="L11" i="8"/>
  <c r="I11" i="8"/>
  <c r="G11" i="8"/>
  <c r="F11" i="8"/>
  <c r="D11" i="8"/>
  <c r="H11" i="8" s="1"/>
  <c r="L10" i="8"/>
  <c r="I10" i="8"/>
  <c r="G10" i="8"/>
  <c r="F10" i="8"/>
  <c r="D10" i="8"/>
  <c r="H10" i="8" s="1"/>
  <c r="L9" i="8"/>
  <c r="I9" i="8"/>
  <c r="G9" i="8"/>
  <c r="F9" i="8"/>
  <c r="D9" i="8"/>
  <c r="H9" i="8" s="1"/>
  <c r="L8" i="8"/>
  <c r="I8" i="8"/>
  <c r="G8" i="8"/>
  <c r="F8" i="8"/>
  <c r="D8" i="8"/>
  <c r="H8" i="8" s="1"/>
  <c r="L7" i="8"/>
  <c r="I7" i="8"/>
  <c r="G7" i="8"/>
  <c r="F7" i="8"/>
  <c r="D7" i="8"/>
  <c r="H7" i="8" s="1"/>
  <c r="L6" i="8"/>
  <c r="I6" i="8"/>
  <c r="G6" i="8"/>
  <c r="F6" i="8"/>
  <c r="E6" i="8"/>
  <c r="D6" i="8"/>
  <c r="H6" i="8" s="1"/>
  <c r="L5" i="8"/>
  <c r="I5" i="8"/>
  <c r="G5" i="8"/>
  <c r="F5" i="8"/>
  <c r="E5" i="8"/>
  <c r="D5" i="8"/>
  <c r="H5" i="8" s="1"/>
  <c r="L4" i="8"/>
  <c r="I4" i="8"/>
  <c r="G4" i="8"/>
  <c r="F4" i="8"/>
  <c r="E4" i="8"/>
  <c r="D4" i="8"/>
  <c r="H4" i="8" s="1"/>
  <c r="N29" i="7"/>
  <c r="M29" i="7"/>
  <c r="L29" i="7"/>
  <c r="H29" i="7"/>
  <c r="I29" i="7" s="1"/>
  <c r="J29" i="7" s="1"/>
  <c r="K29" i="7" s="1"/>
  <c r="G29" i="7"/>
  <c r="N28" i="7"/>
  <c r="M28" i="7"/>
  <c r="L28" i="7"/>
  <c r="H28" i="7"/>
  <c r="I28" i="7" s="1"/>
  <c r="J28" i="7" s="1"/>
  <c r="K28" i="7" s="1"/>
  <c r="G28" i="7"/>
  <c r="N27" i="7"/>
  <c r="M27" i="7"/>
  <c r="L27" i="7"/>
  <c r="H27" i="7"/>
  <c r="I27" i="7" s="1"/>
  <c r="J27" i="7" s="1"/>
  <c r="K27" i="7" s="1"/>
  <c r="G27" i="7"/>
  <c r="N26" i="7"/>
  <c r="M26" i="7"/>
  <c r="L26" i="7"/>
  <c r="H26" i="7"/>
  <c r="I26" i="7" s="1"/>
  <c r="J26" i="7" s="1"/>
  <c r="K26" i="7" s="1"/>
  <c r="G26" i="7"/>
  <c r="N25" i="7"/>
  <c r="M25" i="7"/>
  <c r="L25" i="7"/>
  <c r="H25" i="7"/>
  <c r="I25" i="7" s="1"/>
  <c r="J25" i="7" s="1"/>
  <c r="K25" i="7" s="1"/>
  <c r="G25" i="7"/>
  <c r="N24" i="7"/>
  <c r="M24" i="7"/>
  <c r="L24" i="7"/>
  <c r="H24" i="7"/>
  <c r="I24" i="7" s="1"/>
  <c r="J24" i="7" s="1"/>
  <c r="K24" i="7" s="1"/>
  <c r="G24" i="7"/>
  <c r="N23" i="7"/>
  <c r="M23" i="7"/>
  <c r="L23" i="7"/>
  <c r="H23" i="7"/>
  <c r="I23" i="7" s="1"/>
  <c r="J23" i="7" s="1"/>
  <c r="K23" i="7" s="1"/>
  <c r="G23" i="7"/>
  <c r="N22" i="7"/>
  <c r="M22" i="7"/>
  <c r="L22" i="7"/>
  <c r="H22" i="7"/>
  <c r="I22" i="7" s="1"/>
  <c r="J22" i="7" s="1"/>
  <c r="K22" i="7" s="1"/>
  <c r="G22" i="7"/>
  <c r="N21" i="7"/>
  <c r="M21" i="7"/>
  <c r="L21" i="7"/>
  <c r="H21" i="7"/>
  <c r="I21" i="7" s="1"/>
  <c r="J21" i="7" s="1"/>
  <c r="K21" i="7" s="1"/>
  <c r="G21" i="7"/>
  <c r="N20" i="7"/>
  <c r="M20" i="7"/>
  <c r="L20" i="7"/>
  <c r="H20" i="7"/>
  <c r="I20" i="7" s="1"/>
  <c r="J20" i="7" s="1"/>
  <c r="K20" i="7" s="1"/>
  <c r="G20" i="7"/>
  <c r="N19" i="7"/>
  <c r="M19" i="7"/>
  <c r="L19" i="7"/>
  <c r="H19" i="7"/>
  <c r="I19" i="7" s="1"/>
  <c r="J19" i="7" s="1"/>
  <c r="K19" i="7" s="1"/>
  <c r="G19" i="7"/>
  <c r="N18" i="7"/>
  <c r="M18" i="7"/>
  <c r="L18" i="7"/>
  <c r="H18" i="7"/>
  <c r="I18" i="7" s="1"/>
  <c r="J18" i="7" s="1"/>
  <c r="K18" i="7" s="1"/>
  <c r="G18" i="7"/>
  <c r="N17" i="7"/>
  <c r="M17" i="7"/>
  <c r="L17" i="7"/>
  <c r="H17" i="7"/>
  <c r="I17" i="7" s="1"/>
  <c r="J17" i="7" s="1"/>
  <c r="K17" i="7" s="1"/>
  <c r="G17" i="7"/>
  <c r="N16" i="7"/>
  <c r="M16" i="7"/>
  <c r="L16" i="7"/>
  <c r="H16" i="7"/>
  <c r="I16" i="7" s="1"/>
  <c r="J16" i="7" s="1"/>
  <c r="K16" i="7" s="1"/>
  <c r="G16" i="7"/>
  <c r="N15" i="7"/>
  <c r="M15" i="7"/>
  <c r="L15" i="7"/>
  <c r="H15" i="7"/>
  <c r="I15" i="7" s="1"/>
  <c r="J15" i="7" s="1"/>
  <c r="K15" i="7" s="1"/>
  <c r="G15" i="7"/>
  <c r="N14" i="7"/>
  <c r="M14" i="7"/>
  <c r="L14" i="7"/>
  <c r="H14" i="7"/>
  <c r="I14" i="7" s="1"/>
  <c r="J14" i="7" s="1"/>
  <c r="K14" i="7" s="1"/>
  <c r="G14" i="7"/>
  <c r="N13" i="7"/>
  <c r="M13" i="7"/>
  <c r="L13" i="7"/>
  <c r="H13" i="7"/>
  <c r="I13" i="7" s="1"/>
  <c r="J13" i="7" s="1"/>
  <c r="K13" i="7" s="1"/>
  <c r="G13" i="7"/>
  <c r="N12" i="7"/>
  <c r="M12" i="7"/>
  <c r="L12" i="7"/>
  <c r="H12" i="7"/>
  <c r="I12" i="7" s="1"/>
  <c r="J12" i="7" s="1"/>
  <c r="K12" i="7" s="1"/>
  <c r="G12" i="7"/>
  <c r="N11" i="7"/>
  <c r="M11" i="7"/>
  <c r="L11" i="7"/>
  <c r="H11" i="7"/>
  <c r="I11" i="7" s="1"/>
  <c r="J11" i="7" s="1"/>
  <c r="K11" i="7" s="1"/>
  <c r="G11" i="7"/>
  <c r="N10" i="7"/>
  <c r="M10" i="7"/>
  <c r="L10" i="7"/>
  <c r="H10" i="7"/>
  <c r="I10" i="7" s="1"/>
  <c r="J10" i="7" s="1"/>
  <c r="K10" i="7" s="1"/>
  <c r="G10" i="7"/>
  <c r="N9" i="7"/>
  <c r="M9" i="7"/>
  <c r="L9" i="7"/>
  <c r="H9" i="7"/>
  <c r="I9" i="7" s="1"/>
  <c r="J9" i="7" s="1"/>
  <c r="K9" i="7" s="1"/>
  <c r="G9" i="7"/>
  <c r="N8" i="7"/>
  <c r="M8" i="7"/>
  <c r="L8" i="7"/>
  <c r="H8" i="7"/>
  <c r="I8" i="7" s="1"/>
  <c r="J8" i="7" s="1"/>
  <c r="K8" i="7" s="1"/>
  <c r="G8" i="7"/>
  <c r="N7" i="7"/>
  <c r="M7" i="7"/>
  <c r="L7" i="7"/>
  <c r="H7" i="7"/>
  <c r="I7" i="7" s="1"/>
  <c r="J7" i="7" s="1"/>
  <c r="K7" i="7" s="1"/>
  <c r="G7" i="7"/>
  <c r="N6" i="7"/>
  <c r="M6" i="7"/>
  <c r="L6" i="7"/>
  <c r="H6" i="7"/>
  <c r="I6" i="7" s="1"/>
  <c r="J6" i="7" s="1"/>
  <c r="K6" i="7" s="1"/>
  <c r="G6" i="7"/>
  <c r="N5" i="7"/>
  <c r="M5" i="7"/>
  <c r="L5" i="7"/>
  <c r="H5" i="7"/>
  <c r="I5" i="7" s="1"/>
  <c r="J5" i="7" s="1"/>
  <c r="K5" i="7" s="1"/>
  <c r="G5" i="7"/>
  <c r="N4" i="7"/>
  <c r="M4" i="7"/>
  <c r="L4" i="7"/>
  <c r="H4" i="7"/>
  <c r="I4" i="7" s="1"/>
  <c r="J4" i="7" s="1"/>
  <c r="K4" i="7" s="1"/>
  <c r="G4" i="7"/>
  <c r="J13" i="6"/>
  <c r="H13" i="9" s="1"/>
  <c r="J12" i="6"/>
  <c r="H12" i="9" s="1"/>
  <c r="J11" i="6"/>
  <c r="H11" i="9" s="1"/>
  <c r="J10" i="6"/>
  <c r="H10" i="9" s="1"/>
  <c r="J9" i="6"/>
  <c r="H9" i="9" s="1"/>
  <c r="J8" i="6"/>
  <c r="H8" i="9" s="1"/>
  <c r="J7" i="6"/>
  <c r="H7" i="9" s="1"/>
  <c r="J6" i="6"/>
  <c r="H6" i="9" s="1"/>
  <c r="J5" i="6"/>
  <c r="H5" i="9" s="1"/>
  <c r="J4" i="6"/>
  <c r="H4" i="9" s="1"/>
  <c r="J15" i="3"/>
  <c r="J14" i="3"/>
  <c r="J13" i="3"/>
  <c r="J12" i="3"/>
  <c r="J11" i="3"/>
  <c r="J10" i="3"/>
  <c r="J9" i="3"/>
  <c r="J8" i="3"/>
  <c r="J7" i="3"/>
  <c r="J6" i="3"/>
  <c r="J5" i="3"/>
  <c r="J4" i="3"/>
  <c r="D17" i="2"/>
  <c r="C17" i="2"/>
  <c r="D16" i="2"/>
  <c r="C16" i="2"/>
  <c r="D15" i="2"/>
  <c r="C15" i="2"/>
  <c r="B10" i="2"/>
  <c r="B9" i="2"/>
  <c r="E119" i="8" l="1"/>
  <c r="J119" i="8" s="1"/>
  <c r="K119" i="8" s="1"/>
  <c r="E117" i="8"/>
  <c r="J117" i="8" s="1"/>
  <c r="K117" i="8" s="1"/>
  <c r="E118" i="8"/>
  <c r="J118" i="8" s="1"/>
  <c r="K118" i="8" s="1"/>
  <c r="E114" i="8"/>
  <c r="J114" i="8" s="1"/>
  <c r="K114" i="8" s="1"/>
  <c r="E115" i="8"/>
  <c r="J115" i="8" s="1"/>
  <c r="K115" i="8" s="1"/>
  <c r="E116" i="8"/>
  <c r="J116" i="8" s="1"/>
  <c r="K116" i="8" s="1"/>
  <c r="E112" i="8"/>
  <c r="J112" i="8" s="1"/>
  <c r="K112" i="8" s="1"/>
  <c r="E113" i="8"/>
  <c r="J113" i="8" s="1"/>
  <c r="K113" i="8" s="1"/>
  <c r="E95" i="8"/>
  <c r="J95" i="8" s="1"/>
  <c r="K95" i="8" s="1"/>
  <c r="E97" i="8"/>
  <c r="J97" i="8" s="1"/>
  <c r="K97" i="8" s="1"/>
  <c r="E94" i="8"/>
  <c r="J94" i="8" s="1"/>
  <c r="K94" i="8" s="1"/>
  <c r="E96" i="8"/>
  <c r="J96" i="8" s="1"/>
  <c r="K96" i="8" s="1"/>
  <c r="E98" i="8"/>
  <c r="J98" i="8" s="1"/>
  <c r="K98" i="8" s="1"/>
  <c r="E99" i="8"/>
  <c r="J99" i="8" s="1"/>
  <c r="K99" i="8" s="1"/>
  <c r="E90" i="8"/>
  <c r="J90" i="8" s="1"/>
  <c r="K90" i="8" s="1"/>
  <c r="E93" i="8"/>
  <c r="J93" i="8" s="1"/>
  <c r="K93" i="8" s="1"/>
  <c r="E92" i="8"/>
  <c r="J92" i="8" s="1"/>
  <c r="K92" i="8" s="1"/>
  <c r="E91" i="8"/>
  <c r="J91" i="8" s="1"/>
  <c r="K91" i="8" s="1"/>
  <c r="E16" i="8"/>
  <c r="J16" i="8" s="1"/>
  <c r="K16" i="8" s="1"/>
  <c r="E14" i="8"/>
  <c r="J14" i="8" s="1"/>
  <c r="K14" i="8" s="1"/>
  <c r="E15" i="8"/>
  <c r="J15" i="8" s="1"/>
  <c r="K15" i="8" s="1"/>
  <c r="E13" i="8"/>
  <c r="J13" i="8" s="1"/>
  <c r="E12" i="8"/>
  <c r="J12" i="8" s="1"/>
  <c r="E9" i="8"/>
  <c r="J9" i="8" s="1"/>
  <c r="E8" i="8"/>
  <c r="J8" i="8" s="1"/>
  <c r="E10" i="8"/>
  <c r="J10" i="8" s="1"/>
  <c r="E7" i="8"/>
  <c r="J7" i="8" s="1"/>
  <c r="E11" i="8"/>
  <c r="J11" i="8" s="1"/>
  <c r="J89" i="8"/>
  <c r="K89" i="8" s="1"/>
  <c r="J85" i="8"/>
  <c r="K85" i="8" s="1"/>
  <c r="J84" i="8"/>
  <c r="K84" i="8" s="1"/>
  <c r="J83" i="8"/>
  <c r="K83" i="8" s="1"/>
  <c r="J82" i="8"/>
  <c r="K82" i="8" s="1"/>
  <c r="J79" i="8"/>
  <c r="K79" i="8" s="1"/>
  <c r="J78" i="8"/>
  <c r="K78" i="8" s="1"/>
  <c r="J76" i="8"/>
  <c r="K76" i="8" s="1"/>
  <c r="J74" i="8"/>
  <c r="K74" i="8" s="1"/>
  <c r="J72" i="8"/>
  <c r="K72" i="8" s="1"/>
  <c r="J70" i="8"/>
  <c r="K70" i="8" s="1"/>
  <c r="J68" i="8"/>
  <c r="K68" i="8" s="1"/>
  <c r="J66" i="8"/>
  <c r="K66" i="8" s="1"/>
  <c r="J64" i="8"/>
  <c r="K64" i="8" s="1"/>
  <c r="J63" i="8"/>
  <c r="K63" i="8" s="1"/>
  <c r="J62" i="8"/>
  <c r="K62" i="8" s="1"/>
  <c r="J60" i="8"/>
  <c r="K60" i="8" s="1"/>
  <c r="J59" i="8"/>
  <c r="K59" i="8" s="1"/>
  <c r="J57" i="8"/>
  <c r="K57" i="8" s="1"/>
  <c r="J56" i="8"/>
  <c r="K56" i="8" s="1"/>
  <c r="J54" i="8"/>
  <c r="K54" i="8" s="1"/>
  <c r="J52" i="8"/>
  <c r="K52" i="8" s="1"/>
  <c r="J51" i="8"/>
  <c r="K51" i="8" s="1"/>
  <c r="J50" i="8"/>
  <c r="K50" i="8" s="1"/>
  <c r="J49" i="8"/>
  <c r="K49" i="8" s="1"/>
  <c r="J48" i="8"/>
  <c r="K48" i="8" s="1"/>
  <c r="J47" i="8"/>
  <c r="K47" i="8" s="1"/>
  <c r="J46" i="8"/>
  <c r="K46" i="8" s="1"/>
  <c r="J45" i="8"/>
  <c r="K45" i="8" s="1"/>
  <c r="J44" i="8"/>
  <c r="K44" i="8" s="1"/>
  <c r="J43" i="8"/>
  <c r="K43" i="8" s="1"/>
  <c r="J42" i="8"/>
  <c r="K42" i="8" s="1"/>
  <c r="J41" i="8"/>
  <c r="K41" i="8" s="1"/>
  <c r="J40" i="8"/>
  <c r="K40" i="8" s="1"/>
  <c r="J39" i="8"/>
  <c r="K39" i="8" s="1"/>
  <c r="J38" i="8"/>
  <c r="K38" i="8" s="1"/>
  <c r="J36" i="8"/>
  <c r="K36" i="8" s="1"/>
  <c r="J35" i="8"/>
  <c r="K35" i="8" s="1"/>
  <c r="J34" i="8"/>
  <c r="K34" i="8" s="1"/>
  <c r="J33" i="8"/>
  <c r="K33" i="8" s="1"/>
  <c r="J32" i="8"/>
  <c r="K32" i="8" s="1"/>
  <c r="J31" i="8"/>
  <c r="K31" i="8" s="1"/>
  <c r="J30" i="8"/>
  <c r="K30" i="8" s="1"/>
  <c r="J29" i="8"/>
  <c r="K29" i="8" s="1"/>
  <c r="J28" i="8"/>
  <c r="K28" i="8" s="1"/>
  <c r="J27" i="8"/>
  <c r="K27" i="8" s="1"/>
  <c r="J26" i="8"/>
  <c r="K26" i="8" s="1"/>
  <c r="J25" i="8"/>
  <c r="K25" i="8" s="1"/>
  <c r="J24" i="8"/>
  <c r="K24" i="8" s="1"/>
  <c r="J23" i="8"/>
  <c r="K23" i="8" s="1"/>
  <c r="J22" i="8"/>
  <c r="K22" i="8" s="1"/>
  <c r="J21" i="8"/>
  <c r="K21" i="8" s="1"/>
  <c r="J20" i="8"/>
  <c r="K20" i="8" s="1"/>
  <c r="J19" i="8"/>
  <c r="K19" i="8" s="1"/>
  <c r="J18" i="8"/>
  <c r="K18" i="8" s="1"/>
  <c r="J17" i="8"/>
  <c r="K17" i="8" s="1"/>
  <c r="J6" i="8"/>
  <c r="J5" i="8"/>
  <c r="J4" i="8"/>
  <c r="J109" i="8"/>
  <c r="K109" i="8" s="1"/>
  <c r="J108" i="8"/>
  <c r="K108" i="8" s="1"/>
  <c r="J106" i="8"/>
  <c r="K106" i="8" s="1"/>
  <c r="J105" i="8"/>
  <c r="K105" i="8" s="1"/>
  <c r="J103" i="8"/>
  <c r="K103" i="8" s="1"/>
  <c r="J101" i="8"/>
  <c r="K101" i="8" s="1"/>
  <c r="J123" i="8"/>
  <c r="K123" i="8" s="1"/>
  <c r="J122" i="8"/>
  <c r="K122" i="8" s="1"/>
  <c r="J121" i="8"/>
  <c r="K121" i="8" s="1"/>
  <c r="J120" i="8"/>
  <c r="K120" i="8" s="1"/>
  <c r="J111" i="8"/>
  <c r="K111" i="8" s="1"/>
  <c r="J110" i="8"/>
  <c r="K110" i="8" s="1"/>
  <c r="J107" i="8"/>
  <c r="K107" i="8" s="1"/>
  <c r="J104" i="8"/>
  <c r="K104" i="8" s="1"/>
  <c r="J102" i="8"/>
  <c r="K102" i="8" s="1"/>
  <c r="J100" i="8"/>
  <c r="K100" i="8" s="1"/>
  <c r="J88" i="8"/>
  <c r="K88" i="8" s="1"/>
  <c r="J87" i="8"/>
  <c r="K87" i="8" s="1"/>
  <c r="J86" i="8"/>
  <c r="K86" i="8" s="1"/>
  <c r="J81" i="8"/>
  <c r="K81" i="8" s="1"/>
  <c r="J77" i="8"/>
  <c r="K77" i="8" s="1"/>
  <c r="J75" i="8"/>
  <c r="K75" i="8" s="1"/>
  <c r="J73" i="8"/>
  <c r="K73" i="8" s="1"/>
  <c r="J71" i="8"/>
  <c r="K71" i="8" s="1"/>
  <c r="J69" i="8"/>
  <c r="K69" i="8" s="1"/>
  <c r="J67" i="8"/>
  <c r="K67" i="8" s="1"/>
  <c r="J65" i="8"/>
  <c r="K65" i="8" s="1"/>
  <c r="J61" i="8"/>
  <c r="K61" i="8" s="1"/>
  <c r="J58" i="8"/>
  <c r="K58" i="8" s="1"/>
  <c r="J55" i="8"/>
  <c r="K55" i="8" s="1"/>
  <c r="J53" i="8"/>
  <c r="K53" i="8" s="1"/>
  <c r="K13" i="8" l="1"/>
  <c r="H13" i="6"/>
  <c r="I13" i="6" s="1"/>
  <c r="K12" i="8"/>
  <c r="H12" i="6"/>
  <c r="I12" i="6" s="1"/>
  <c r="K9" i="8"/>
  <c r="H9" i="6"/>
  <c r="I9" i="6" s="1"/>
  <c r="K8" i="8"/>
  <c r="H8" i="6"/>
  <c r="I8" i="6" s="1"/>
  <c r="K10" i="8"/>
  <c r="H10" i="6"/>
  <c r="I10" i="6" s="1"/>
  <c r="K7" i="8"/>
  <c r="H7" i="6"/>
  <c r="I7" i="6" s="1"/>
  <c r="K11" i="8"/>
  <c r="H11" i="6"/>
  <c r="I11" i="6" s="1"/>
  <c r="H6" i="6"/>
  <c r="I6" i="6" s="1"/>
  <c r="K6" i="8"/>
  <c r="H5" i="6"/>
  <c r="I5" i="6" s="1"/>
  <c r="K5" i="8"/>
  <c r="H4" i="6"/>
  <c r="K4" i="8"/>
  <c r="K13" i="6" l="1"/>
  <c r="G13" i="9"/>
  <c r="K12" i="6"/>
  <c r="G12" i="9"/>
  <c r="K9" i="6"/>
  <c r="G9" i="9"/>
  <c r="K8" i="6"/>
  <c r="G8" i="9"/>
  <c r="K10" i="6"/>
  <c r="G10" i="9"/>
  <c r="K7" i="6"/>
  <c r="G7" i="9"/>
  <c r="K11" i="6"/>
  <c r="G11" i="9"/>
  <c r="K6" i="6"/>
  <c r="G6" i="9"/>
  <c r="K5" i="6"/>
  <c r="G5" i="9"/>
  <c r="I4" i="6"/>
  <c r="B7" i="2"/>
  <c r="D13" i="9" l="1"/>
  <c r="D12" i="9"/>
  <c r="D9" i="9"/>
  <c r="D8" i="9"/>
  <c r="D10" i="9"/>
  <c r="N7" i="6"/>
  <c r="D7" i="9"/>
  <c r="D11" i="9"/>
  <c r="D6" i="9"/>
  <c r="D5" i="9"/>
  <c r="K4" i="6"/>
  <c r="G4" i="9"/>
  <c r="K13" i="9" l="1"/>
  <c r="M13" i="9"/>
  <c r="E13" i="9"/>
  <c r="E12" i="9"/>
  <c r="K12" i="9"/>
  <c r="M12" i="9"/>
  <c r="K9" i="9"/>
  <c r="M9" i="9"/>
  <c r="E9" i="9"/>
  <c r="E8" i="9"/>
  <c r="K8" i="9"/>
  <c r="M8" i="9"/>
  <c r="K10" i="9"/>
  <c r="E10" i="9"/>
  <c r="M10" i="9"/>
  <c r="E7" i="9"/>
  <c r="K7" i="9"/>
  <c r="M7" i="9"/>
  <c r="E11" i="9"/>
  <c r="K11" i="9"/>
  <c r="M11" i="9"/>
  <c r="E6" i="9"/>
  <c r="K6" i="9"/>
  <c r="B17" i="2" s="1"/>
  <c r="M6" i="9"/>
  <c r="E5" i="9"/>
  <c r="M5" i="9"/>
  <c r="K5" i="9"/>
  <c r="B16" i="2" s="1"/>
  <c r="N4" i="6"/>
  <c r="B5" i="2"/>
  <c r="B6" i="2"/>
  <c r="D4" i="9"/>
  <c r="N12" i="6"/>
  <c r="N9" i="6"/>
  <c r="N10" i="6"/>
  <c r="N11" i="6"/>
  <c r="N6" i="6"/>
  <c r="N5" i="6"/>
  <c r="N13" i="6"/>
  <c r="N8" i="6"/>
  <c r="H5" i="2" l="1"/>
  <c r="H6" i="2"/>
  <c r="I6" i="2"/>
  <c r="O5" i="2" s="1"/>
  <c r="E7" i="2"/>
  <c r="L6" i="2" s="1"/>
  <c r="F7" i="2"/>
  <c r="M6" i="2" s="1"/>
  <c r="H7" i="2"/>
  <c r="E8" i="2"/>
  <c r="L7" i="2" s="1"/>
  <c r="I8" i="2"/>
  <c r="O7" i="2" s="1"/>
  <c r="H10" i="2"/>
  <c r="G5" i="2"/>
  <c r="N4" i="2" s="1"/>
  <c r="E6" i="2"/>
  <c r="L5" i="2" s="1"/>
  <c r="F5" i="2"/>
  <c r="M4" i="2" s="1"/>
  <c r="I5" i="2"/>
  <c r="O4" i="2" s="1"/>
  <c r="F6" i="2"/>
  <c r="M5" i="2" s="1"/>
  <c r="G7" i="2"/>
  <c r="N6" i="2" s="1"/>
  <c r="I7" i="2"/>
  <c r="O6" i="2" s="1"/>
  <c r="G8" i="2"/>
  <c r="N7" i="2" s="1"/>
  <c r="F9" i="2"/>
  <c r="M8" i="2" s="1"/>
  <c r="H9" i="2"/>
  <c r="J9" i="2"/>
  <c r="E10" i="2"/>
  <c r="L9" i="2" s="1"/>
  <c r="G10" i="2"/>
  <c r="N9" i="2" s="1"/>
  <c r="I10" i="2"/>
  <c r="O9" i="2" s="1"/>
  <c r="J10" i="2"/>
  <c r="E11" i="2"/>
  <c r="L10" i="2" s="1"/>
  <c r="F11" i="2"/>
  <c r="M10" i="2" s="1"/>
  <c r="G11" i="2"/>
  <c r="N10" i="2" s="1"/>
  <c r="H11" i="2"/>
  <c r="I11" i="2"/>
  <c r="O10" i="2" s="1"/>
  <c r="J11" i="2"/>
  <c r="E12" i="2"/>
  <c r="L11" i="2" s="1"/>
  <c r="F12" i="2"/>
  <c r="M11" i="2" s="1"/>
  <c r="G12" i="2"/>
  <c r="N11" i="2" s="1"/>
  <c r="H12" i="2"/>
  <c r="I12" i="2"/>
  <c r="O11" i="2" s="1"/>
  <c r="J12" i="2"/>
  <c r="E13" i="2"/>
  <c r="L12" i="2" s="1"/>
  <c r="F13" i="2"/>
  <c r="M12" i="2" s="1"/>
  <c r="G13" i="2"/>
  <c r="N12" i="2" s="1"/>
  <c r="H13" i="2"/>
  <c r="I13" i="2"/>
  <c r="O12" i="2" s="1"/>
  <c r="J13" i="2"/>
  <c r="E14" i="2"/>
  <c r="L13" i="2" s="1"/>
  <c r="F14" i="2"/>
  <c r="M13" i="2" s="1"/>
  <c r="G14" i="2"/>
  <c r="N13" i="2" s="1"/>
  <c r="H14" i="2"/>
  <c r="I14" i="2"/>
  <c r="O13" i="2" s="1"/>
  <c r="J14" i="2"/>
  <c r="E5" i="2"/>
  <c r="L4" i="2" s="1"/>
  <c r="J5" i="2"/>
  <c r="G6" i="2"/>
  <c r="N5" i="2" s="1"/>
  <c r="J6" i="2"/>
  <c r="J7" i="2"/>
  <c r="F8" i="2"/>
  <c r="M7" i="2" s="1"/>
  <c r="H8" i="2"/>
  <c r="J8" i="2"/>
  <c r="E9" i="2"/>
  <c r="L8" i="2" s="1"/>
  <c r="G9" i="2"/>
  <c r="N8" i="2" s="1"/>
  <c r="I9" i="2"/>
  <c r="O8" i="2" s="1"/>
  <c r="F10" i="2"/>
  <c r="M9" i="2" s="1"/>
  <c r="B4" i="2"/>
  <c r="K4" i="9"/>
  <c r="M4" i="9"/>
  <c r="E4" i="9"/>
  <c r="B15" i="2" l="1"/>
  <c r="B8" i="2"/>
</calcChain>
</file>

<file path=xl/sharedStrings.xml><?xml version="1.0" encoding="utf-8"?>
<sst xmlns="http://schemas.openxmlformats.org/spreadsheetml/2006/main" count="908" uniqueCount="278">
  <si>
    <t>Jan-Pro Manager Procurement + Supply Planning System</t>
  </si>
  <si>
    <t>Purpose</t>
  </si>
  <si>
    <t>Use this workbook like a manager tool: forecast supplies from contract workload, track inventory, rank vendors, and generate purchase order recommendations before accounts run short.</t>
  </si>
  <si>
    <t>Step</t>
  </si>
  <si>
    <t>What to do</t>
  </si>
  <si>
    <t>Where</t>
  </si>
  <si>
    <t>Manager Notes</t>
  </si>
  <si>
    <t>1</t>
  </si>
  <si>
    <t>Update contract schedule, headcount, service type, and square footage.</t>
  </si>
  <si>
    <t>Contracts</t>
  </si>
  <si>
    <t>Items marked ORDER are below safe stock based on contract workload.</t>
  </si>
  <si>
    <t>2</t>
  </si>
  <si>
    <t>Update worker list if using manager assignments or accountability.</t>
  </si>
  <si>
    <t>Employees</t>
  </si>
  <si>
    <t>Preferred vendors are selected by score, not only price.</t>
  </si>
  <si>
    <t>3</t>
  </si>
  <si>
    <t>Update current inventory counts at least weekly.</t>
  </si>
  <si>
    <t>Inventory</t>
  </si>
  <si>
    <t>This is Excel, but the workflow models SAP Ariba style purchasing: demand → supplier → PO → delivery → inventory.</t>
  </si>
  <si>
    <t>4</t>
  </si>
  <si>
    <t>Review calculated supply demand by contract.</t>
  </si>
  <si>
    <t>Supply Forecast</t>
  </si>
  <si>
    <t>5</t>
  </si>
  <si>
    <t>Review recommended orders and PO status.</t>
  </si>
  <si>
    <t>Purchase Orders</t>
  </si>
  <si>
    <t>6</t>
  </si>
  <si>
    <t>Use dashboard KPIs for quick management decisions.</t>
  </si>
  <si>
    <t>Manager Dashboard</t>
  </si>
  <si>
    <t>Jan-Pro Manager Dashboard</t>
  </si>
  <si>
    <t>KPI</t>
  </si>
  <si>
    <t>Value</t>
  </si>
  <si>
    <t>Manager Read</t>
  </si>
  <si>
    <t>Items Needing Action</t>
  </si>
  <si>
    <t>Item</t>
  </si>
  <si>
    <t>Current</t>
  </si>
  <si>
    <t>Reorder Point</t>
  </si>
  <si>
    <t>Suggested Qty</t>
  </si>
  <si>
    <t>Open PO Drafts</t>
  </si>
  <si>
    <t>Purchase orders waiting</t>
  </si>
  <si>
    <t>Status</t>
  </si>
  <si>
    <t>Vendor</t>
  </si>
  <si>
    <t>Items to Order</t>
  </si>
  <si>
    <t>Inventory risk</t>
  </si>
  <si>
    <t>Watch Items</t>
  </si>
  <si>
    <t>Near reorder point</t>
  </si>
  <si>
    <t>Weekly Supply Forecast</t>
  </si>
  <si>
    <t>Expected weekly units</t>
  </si>
  <si>
    <t>Estimated PO Cost</t>
  </si>
  <si>
    <t>Projected spend</t>
  </si>
  <si>
    <t>Active Contracts</t>
  </si>
  <si>
    <t>Accounts running</t>
  </si>
  <si>
    <t>High/Critical Contracts</t>
  </si>
  <si>
    <t>Service risk focus</t>
  </si>
  <si>
    <t>Vendor Spend Forecast</t>
  </si>
  <si>
    <t>Open PO Cost</t>
  </si>
  <si>
    <t>Open Lines</t>
  </si>
  <si>
    <t>Avg Lead Days</t>
  </si>
  <si>
    <t>Manager Workflow</t>
  </si>
  <si>
    <t>Check KPI block for risk.</t>
  </si>
  <si>
    <t>Review action items. Anything ORDER should be placed or confirmed.</t>
  </si>
  <si>
    <t>Use Vendors tab if a preferred supplier is delayed.</t>
  </si>
  <si>
    <t>Use Purchase Orders tab to change Draft → Submitted → Confirmed → Received.</t>
  </si>
  <si>
    <t>Update Inventory after received orders or physical counts.</t>
  </si>
  <si>
    <t>Contracts and Service Demand</t>
  </si>
  <si>
    <t>Client</t>
  </si>
  <si>
    <t>Site Address</t>
  </si>
  <si>
    <t>Service Type</t>
  </si>
  <si>
    <t>Sq Ft</t>
  </si>
  <si>
    <t>Days/Week</t>
  </si>
  <si>
    <t>Headcount</t>
  </si>
  <si>
    <t>Priority</t>
  </si>
  <si>
    <t>Start Date</t>
  </si>
  <si>
    <t>Active</t>
  </si>
  <si>
    <t>Weekly Visits</t>
  </si>
  <si>
    <t>Notes</t>
  </si>
  <si>
    <t>Bank</t>
  </si>
  <si>
    <t>4204 Main St, Dallas, TX</t>
  </si>
  <si>
    <t>Office</t>
  </si>
  <si>
    <t>High</t>
  </si>
  <si>
    <t>Yes</t>
  </si>
  <si>
    <t>Lobby, restrooms, teller area</t>
  </si>
  <si>
    <t>HighSchool</t>
  </si>
  <si>
    <t>2194 Main St, Fort Worth, TX</t>
  </si>
  <si>
    <t>Education</t>
  </si>
  <si>
    <t>Classrooms and cafeteria</t>
  </si>
  <si>
    <t>CityHall</t>
  </si>
  <si>
    <t>6048 Main St, Arlington, TX</t>
  </si>
  <si>
    <t>Normal</t>
  </si>
  <si>
    <t>Public building</t>
  </si>
  <si>
    <t>Library</t>
  </si>
  <si>
    <t>7126 Main St, Plano, TX</t>
  </si>
  <si>
    <t>Light Office</t>
  </si>
  <si>
    <t>Quiet zone, restrooms</t>
  </si>
  <si>
    <t>FireStation</t>
  </si>
  <si>
    <t>9627 Main St, Irving, TX</t>
  </si>
  <si>
    <t>Industrial</t>
  </si>
  <si>
    <t>Bay floor, kitchen</t>
  </si>
  <si>
    <t>CityHall2</t>
  </si>
  <si>
    <t>2363 Main St, Garland, TX</t>
  </si>
  <si>
    <t>Highschool2</t>
  </si>
  <si>
    <t>4202 Main St, Frisco, TX</t>
  </si>
  <si>
    <t>FireStation2</t>
  </si>
  <si>
    <t>2290 Main St, McKinney, TX</t>
  </si>
  <si>
    <t>CityHall3</t>
  </si>
  <si>
    <t>7444 Main St, Grand Prairie, TX</t>
  </si>
  <si>
    <t>HighSchool3</t>
  </si>
  <si>
    <t>5477 Main St, Denton, TX</t>
  </si>
  <si>
    <t>Critical</t>
  </si>
  <si>
    <t>Large account, higher risk</t>
  </si>
  <si>
    <t>FireStation3</t>
  </si>
  <si>
    <t>3987 Main St, Mesquite, TX</t>
  </si>
  <si>
    <t>Library2</t>
  </si>
  <si>
    <t>4031 Main St, Richardson, TX</t>
  </si>
  <si>
    <t>Employee Availability and Manager Dispatch Notes</t>
  </si>
  <si>
    <t>ID</t>
  </si>
  <si>
    <t>Name</t>
  </si>
  <si>
    <t>Role</t>
  </si>
  <si>
    <t>Pay Rate</t>
  </si>
  <si>
    <t>Home Address</t>
  </si>
  <si>
    <t>Mon</t>
  </si>
  <si>
    <t>Tue</t>
  </si>
  <si>
    <t>Wed</t>
  </si>
  <si>
    <t>Thu</t>
  </si>
  <si>
    <t>Fri</t>
  </si>
  <si>
    <t>Sat</t>
  </si>
  <si>
    <t>Sun</t>
  </si>
  <si>
    <t>JAN001</t>
  </si>
  <si>
    <t>Alex Rivera</t>
  </si>
  <si>
    <t>Cleaner</t>
  </si>
  <si>
    <t>9407 Oak St, Dallas, TX</t>
  </si>
  <si>
    <t>JAN002</t>
  </si>
  <si>
    <t>Morgan Lee</t>
  </si>
  <si>
    <t>4586 Oak St, Fort Worth, TX</t>
  </si>
  <si>
    <t>JAN003</t>
  </si>
  <si>
    <t>Chris Johnson</t>
  </si>
  <si>
    <t>2832 Oak St, Arlington, TX</t>
  </si>
  <si>
    <t>JAN004</t>
  </si>
  <si>
    <t>Taylor Smith</t>
  </si>
  <si>
    <t>3206 Oak St, Plano, TX</t>
  </si>
  <si>
    <t>JAN005</t>
  </si>
  <si>
    <t>Jamie Patel</t>
  </si>
  <si>
    <t>7340 Oak St, Irving, TX</t>
  </si>
  <si>
    <t>JAN006</t>
  </si>
  <si>
    <t>Riley Garcia</t>
  </si>
  <si>
    <t>2308 Oak St, Garland, TX</t>
  </si>
  <si>
    <t>JAN007</t>
  </si>
  <si>
    <t>Jordan Kim</t>
  </si>
  <si>
    <t>9630 Oak St, Frisco, TX</t>
  </si>
  <si>
    <t>JAN008</t>
  </si>
  <si>
    <t>Casey Brown</t>
  </si>
  <si>
    <t>4561 Oak St, McKinney, TX</t>
  </si>
  <si>
    <t>JAN009</t>
  </si>
  <si>
    <t>Drew Wilson</t>
  </si>
  <si>
    <t>4490 Oak St, Grand Prairie, TX</t>
  </si>
  <si>
    <t>JAN010</t>
  </si>
  <si>
    <t>Avery Davis</t>
  </si>
  <si>
    <t>2815 Oak St, Denton, TX</t>
  </si>
  <si>
    <t>LD011</t>
  </si>
  <si>
    <t>Sam Thomas</t>
  </si>
  <si>
    <t>Lead</t>
  </si>
  <si>
    <t>4025 Oak St, Mesquite, TX</t>
  </si>
  <si>
    <t>LD012</t>
  </si>
  <si>
    <t>Parker Moore</t>
  </si>
  <si>
    <t>2435 Oak St, Richardson, TX</t>
  </si>
  <si>
    <t>Supply Catalog and Usage Model</t>
  </si>
  <si>
    <t>Item ID</t>
  </si>
  <si>
    <t>Category</t>
  </si>
  <si>
    <t>Unit</t>
  </si>
  <si>
    <t>Base Usage/Visit</t>
  </si>
  <si>
    <t>SqFt Usage Factor</t>
  </si>
  <si>
    <t>Headcount Factor</t>
  </si>
  <si>
    <t>Safety Stock %</t>
  </si>
  <si>
    <t>Preferred Vendor</t>
  </si>
  <si>
    <t>SUP001</t>
  </si>
  <si>
    <t>Trash Liners 55 Gal</t>
  </si>
  <si>
    <t>Consumable</t>
  </si>
  <si>
    <t>case</t>
  </si>
  <si>
    <t>CleanCo Supply</t>
  </si>
  <si>
    <t>Used across most accounts</t>
  </si>
  <si>
    <t>SUP002</t>
  </si>
  <si>
    <t>Nitrile Gloves</t>
  </si>
  <si>
    <t>box</t>
  </si>
  <si>
    <t>Facility Depot</t>
  </si>
  <si>
    <t>Higher use on restroom-heavy sites</t>
  </si>
  <si>
    <t>SUP003</t>
  </si>
  <si>
    <t>Disinfectant Concentrate</t>
  </si>
  <si>
    <t>Chemical</t>
  </si>
  <si>
    <t>gallon</t>
  </si>
  <si>
    <t>Janitorial Direct</t>
  </si>
  <si>
    <t>Core chemical</t>
  </si>
  <si>
    <t>SUP004</t>
  </si>
  <si>
    <t>Glass Cleaner</t>
  </si>
  <si>
    <t>Office-heavy use</t>
  </si>
  <si>
    <t>SUP005</t>
  </si>
  <si>
    <t>Paper Towels</t>
  </si>
  <si>
    <t>Restroom</t>
  </si>
  <si>
    <t>Restroom support</t>
  </si>
  <si>
    <t>SUP006</t>
  </si>
  <si>
    <t>Toilet Tissue</t>
  </si>
  <si>
    <t>SUP007</t>
  </si>
  <si>
    <t>Microfiber Towels</t>
  </si>
  <si>
    <t>Reusable</t>
  </si>
  <si>
    <t>pack</t>
  </si>
  <si>
    <t>Reusable but needs replacement</t>
  </si>
  <si>
    <t>SUP008</t>
  </si>
  <si>
    <t>Mop Heads</t>
  </si>
  <si>
    <t>each</t>
  </si>
  <si>
    <t>Floor care</t>
  </si>
  <si>
    <t>SUP009</t>
  </si>
  <si>
    <t>Floor Cleaner</t>
  </si>
  <si>
    <t>Schools/industrial higher use</t>
  </si>
  <si>
    <t>SUP010</t>
  </si>
  <si>
    <t>Hand Soap Refill</t>
  </si>
  <si>
    <t>Customer-facing restrooms</t>
  </si>
  <si>
    <t>Inventory Control</t>
  </si>
  <si>
    <t>Current Stock</t>
  </si>
  <si>
    <t>Min Stock</t>
  </si>
  <si>
    <t>Max Stock</t>
  </si>
  <si>
    <t>Weekly Forecast</t>
  </si>
  <si>
    <t>Suggested Order Qty</t>
  </si>
  <si>
    <t>Last Count Date</t>
  </si>
  <si>
    <t>Action Rank</t>
  </si>
  <si>
    <t>Vendor Scorecard</t>
  </si>
  <si>
    <t>Unit Cost</t>
  </si>
  <si>
    <t>Lead Time Days</t>
  </si>
  <si>
    <t>Reliability 1-10</t>
  </si>
  <si>
    <t>Delivery Score</t>
  </si>
  <si>
    <t>Cost Score</t>
  </si>
  <si>
    <t>Weighted Score</t>
  </si>
  <si>
    <t>Manager Choice</t>
  </si>
  <si>
    <t>LookupKey</t>
  </si>
  <si>
    <t>LookupVendor</t>
  </si>
  <si>
    <t>LookupCost</t>
  </si>
  <si>
    <t>LookupLeadDays</t>
  </si>
  <si>
    <t>Contract-Based Supply Forecast</t>
  </si>
  <si>
    <t>Service Factor</t>
  </si>
  <si>
    <t>Base Usage</t>
  </si>
  <si>
    <t>Weekly Qty</t>
  </si>
  <si>
    <t>Monthly Qty</t>
  </si>
  <si>
    <t>Purchase Order Recommendations</t>
  </si>
  <si>
    <t>PO #</t>
  </si>
  <si>
    <t>Recommended Vendor</t>
  </si>
  <si>
    <t>Estimated Cost</t>
  </si>
  <si>
    <t>ETA</t>
  </si>
  <si>
    <t>PO-1001</t>
  </si>
  <si>
    <t>PO-1002</t>
  </si>
  <si>
    <t>PO-1003</t>
  </si>
  <si>
    <t>PO-1004</t>
  </si>
  <si>
    <t>PO-1005</t>
  </si>
  <si>
    <t>PO-1006</t>
  </si>
  <si>
    <t>PO-1007</t>
  </si>
  <si>
    <t>PO-1008</t>
  </si>
  <si>
    <t>PO-1009</t>
  </si>
  <si>
    <t>PO-1010</t>
  </si>
  <si>
    <t>Usage Log - Manager Entry</t>
  </si>
  <si>
    <t>Date</t>
  </si>
  <si>
    <t>Qty Used</t>
  </si>
  <si>
    <t>Entered By</t>
  </si>
  <si>
    <t>Reason</t>
  </si>
  <si>
    <t>Contract Priority</t>
  </si>
  <si>
    <t>Month</t>
  </si>
  <si>
    <t>Week</t>
  </si>
  <si>
    <t>Manager</t>
  </si>
  <si>
    <t>Standard Service</t>
  </si>
  <si>
    <t>Restroom Refill</t>
  </si>
  <si>
    <t>Settings and Lists</t>
  </si>
  <si>
    <t>Usage Factor</t>
  </si>
  <si>
    <t>PO Status</t>
  </si>
  <si>
    <t>Draft</t>
  </si>
  <si>
    <t>Low</t>
  </si>
  <si>
    <t>Submitted</t>
  </si>
  <si>
    <t>Medical</t>
  </si>
  <si>
    <t>Confirmed</t>
  </si>
  <si>
    <t>Received</t>
  </si>
  <si>
    <t>Retail</t>
  </si>
  <si>
    <t>Delayed</t>
  </si>
  <si>
    <t>Restroom Heavy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</si>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</sst>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0.00"/>
    <numFmt numFmtId="165" formatCode="0.0000"/>
    <numFmt numFmtId="166" formatCode="0.0"/>
    <numFmt numFmtId="167" formatCode="\$#,##0.00"/>
    <numFmt numFmtId="168" formatCode="mm/dd/yyyy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3" fontId="0" fillId="0" borderId="0" xfId="0" applyNumberFormat="1"/>
    <xf numFmtId="1" fontId="0" fillId="0" borderId="0" xfId="0" applyNumberFormat="1"/>
    <xf numFmtId="0" fontId="3" fillId="5" borderId="0" xfId="0" applyFont="1" applyFill="1"/>
    <xf numFmtId="0" fontId="4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6" borderId="0" xfId="0" applyFill="1" applyAlignment="1">
      <alignment wrapText="1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/>
    </xf>
    <xf numFmtId="167" fontId="0" fillId="0" borderId="0" xfId="0" applyNumberFormat="1"/>
    <xf numFmtId="168" fontId="0" fillId="0" borderId="0" xfId="0" applyNumberFormat="1"/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14">
    <dxf>
      <font>
        <b/>
      </font>
      <fill>
        <patternFill>
          <bgColor rgb="FFFCA5A5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</font>
      <fill>
        <patternFill>
          <bgColor rgb="FFFDE68A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</font>
      <fill>
        <patternFill>
          <bgColor rgb="FFBBF7D0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8CBAD"/>
        </patternFill>
      </fill>
    </dxf>
    <dxf>
      <font>
        <b/>
      </font>
      <fill>
        <patternFill>
          <bgColor rgb="FFBBF7D0"/>
        </patternFill>
      </fill>
    </dxf>
    <dxf>
      <font>
        <b/>
      </font>
      <fill>
        <patternFill>
          <bgColor rgb="FFFDE68A"/>
        </patternFill>
      </fill>
    </dxf>
    <dxf>
      <font>
        <b/>
      </font>
      <fill>
        <patternFill>
          <bgColor rgb="FFFCA5A5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Open PO Cost by Vendor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Open PO Cost</c:v>
          </c:tx>
          <c:invertIfNegative val="1"/>
          <c:cat>
            <c:strRef>
              <c:f>'Manager Dashboard'!$A$15:$A$17</c:f>
              <c:strCache>
                <c:ptCount val="3"/>
                <c:pt idx="0">
                  <c:v>CleanCo Supply</c:v>
                </c:pt>
                <c:pt idx="1">
                  <c:v>Facility Depot</c:v>
                </c:pt>
                <c:pt idx="2">
                  <c:v>Janitorial Direct</c:v>
                </c:pt>
              </c:strCache>
            </c:strRef>
          </c:cat>
          <c:val>
            <c:numRef>
              <c:f>'Manager Dashboard'!$B$15:$B$17</c:f>
              <c:numCache>
                <c:formatCode>\$#,##0.00</c:formatCode>
                <c:ptCount val="3"/>
                <c:pt idx="0">
                  <c:v>2168</c:v>
                </c:pt>
                <c:pt idx="1">
                  <c:v>4101</c:v>
                </c:pt>
                <c:pt idx="2">
                  <c:v>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4-419A-BE19-7BF4EF447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Inventory Action Items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Current</c:v>
          </c:tx>
          <c:invertIfNegative val="1"/>
          <c:cat>
            <c:strRef>
              <c:f>'Manager Dashboard'!$L$4:$L$13</c:f>
              <c:strCache>
                <c:ptCount val="10"/>
                <c:pt idx="0">
                  <c:v>Trash Liners 55 Gal</c:v>
                </c:pt>
                <c:pt idx="1">
                  <c:v>Nitrile Gloves</c:v>
                </c:pt>
                <c:pt idx="2">
                  <c:v>Disinfectant Concentrate</c:v>
                </c:pt>
                <c:pt idx="3">
                  <c:v>Glass Cleaner</c:v>
                </c:pt>
                <c:pt idx="4">
                  <c:v>Paper Towels</c:v>
                </c:pt>
                <c:pt idx="5">
                  <c:v>Toilet Tissue</c:v>
                </c:pt>
                <c:pt idx="6">
                  <c:v>Microfiber Towels</c:v>
                </c:pt>
                <c:pt idx="7">
                  <c:v>Mop Heads</c:v>
                </c:pt>
                <c:pt idx="8">
                  <c:v>Floor Cleaner</c:v>
                </c:pt>
                <c:pt idx="9">
                  <c:v>Hand Soap Refill</c:v>
                </c:pt>
              </c:strCache>
            </c:strRef>
          </c:cat>
          <c:val>
            <c:numRef>
              <c:f>'Manager Dashboard'!$M$4:$M$13</c:f>
              <c:numCache>
                <c:formatCode>0.0</c:formatCode>
                <c:ptCount val="10"/>
                <c:pt idx="0">
                  <c:v>28</c:v>
                </c:pt>
                <c:pt idx="1">
                  <c:v>45</c:v>
                </c:pt>
                <c:pt idx="2">
                  <c:v>14</c:v>
                </c:pt>
                <c:pt idx="3">
                  <c:v>12</c:v>
                </c:pt>
                <c:pt idx="4">
                  <c:v>18</c:v>
                </c:pt>
                <c:pt idx="5">
                  <c:v>16</c:v>
                </c:pt>
                <c:pt idx="6">
                  <c:v>20</c:v>
                </c:pt>
                <c:pt idx="7">
                  <c:v>13</c:v>
                </c:pt>
                <c:pt idx="8">
                  <c:v>10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7-49F1-9110-B7FEF5BF19BA}"/>
            </c:ext>
          </c:extLst>
        </c:ser>
        <c:ser>
          <c:idx val="1"/>
          <c:order val="1"/>
          <c:tx>
            <c:v>Reorder Point</c:v>
          </c:tx>
          <c:invertIfNegative val="1"/>
          <c:cat>
            <c:strRef>
              <c:f>'Manager Dashboard'!$L$4:$L$13</c:f>
              <c:strCache>
                <c:ptCount val="10"/>
                <c:pt idx="0">
                  <c:v>Trash Liners 55 Gal</c:v>
                </c:pt>
                <c:pt idx="1">
                  <c:v>Nitrile Gloves</c:v>
                </c:pt>
                <c:pt idx="2">
                  <c:v>Disinfectant Concentrate</c:v>
                </c:pt>
                <c:pt idx="3">
                  <c:v>Glass Cleaner</c:v>
                </c:pt>
                <c:pt idx="4">
                  <c:v>Paper Towels</c:v>
                </c:pt>
                <c:pt idx="5">
                  <c:v>Toilet Tissue</c:v>
                </c:pt>
                <c:pt idx="6">
                  <c:v>Microfiber Towels</c:v>
                </c:pt>
                <c:pt idx="7">
                  <c:v>Mop Heads</c:v>
                </c:pt>
                <c:pt idx="8">
                  <c:v>Floor Cleaner</c:v>
                </c:pt>
                <c:pt idx="9">
                  <c:v>Hand Soap Refill</c:v>
                </c:pt>
              </c:strCache>
            </c:strRef>
          </c:cat>
          <c:val>
            <c:numRef>
              <c:f>'Manager Dashboard'!$N$4:$N$13</c:f>
              <c:numCache>
                <c:formatCode>0.0</c:formatCode>
                <c:ptCount val="10"/>
                <c:pt idx="0">
                  <c:v>91</c:v>
                </c:pt>
                <c:pt idx="1">
                  <c:v>132</c:v>
                </c:pt>
                <c:pt idx="2">
                  <c:v>83</c:v>
                </c:pt>
                <c:pt idx="3">
                  <c:v>49</c:v>
                </c:pt>
                <c:pt idx="4">
                  <c:v>96</c:v>
                </c:pt>
                <c:pt idx="5">
                  <c:v>84</c:v>
                </c:pt>
                <c:pt idx="6">
                  <c:v>42</c:v>
                </c:pt>
                <c:pt idx="7">
                  <c:v>28</c:v>
                </c:pt>
                <c:pt idx="8">
                  <c:v>74</c:v>
                </c:pt>
                <c:pt idx="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27-49F1-9110-B7FEF5BF19BA}"/>
            </c:ext>
          </c:extLst>
        </c:ser>
        <c:ser>
          <c:idx val="2"/>
          <c:order val="2"/>
          <c:tx>
            <c:v>Suggested Qty</c:v>
          </c:tx>
          <c:invertIfNegative val="1"/>
          <c:cat>
            <c:strRef>
              <c:f>'Manager Dashboard'!$L$4:$L$13</c:f>
              <c:strCache>
                <c:ptCount val="10"/>
                <c:pt idx="0">
                  <c:v>Trash Liners 55 Gal</c:v>
                </c:pt>
                <c:pt idx="1">
                  <c:v>Nitrile Gloves</c:v>
                </c:pt>
                <c:pt idx="2">
                  <c:v>Disinfectant Concentrate</c:v>
                </c:pt>
                <c:pt idx="3">
                  <c:v>Glass Cleaner</c:v>
                </c:pt>
                <c:pt idx="4">
                  <c:v>Paper Towels</c:v>
                </c:pt>
                <c:pt idx="5">
                  <c:v>Toilet Tissue</c:v>
                </c:pt>
                <c:pt idx="6">
                  <c:v>Microfiber Towels</c:v>
                </c:pt>
                <c:pt idx="7">
                  <c:v>Mop Heads</c:v>
                </c:pt>
                <c:pt idx="8">
                  <c:v>Floor Cleaner</c:v>
                </c:pt>
                <c:pt idx="9">
                  <c:v>Hand Soap Refill</c:v>
                </c:pt>
              </c:strCache>
            </c:strRef>
          </c:cat>
          <c:val>
            <c:numRef>
              <c:f>'Manager Dashboard'!$O$4:$O$13</c:f>
              <c:numCache>
                <c:formatCode>0.0</c:formatCode>
                <c:ptCount val="10"/>
                <c:pt idx="0">
                  <c:v>38</c:v>
                </c:pt>
                <c:pt idx="1">
                  <c:v>75</c:v>
                </c:pt>
                <c:pt idx="2">
                  <c:v>22</c:v>
                </c:pt>
                <c:pt idx="3">
                  <c:v>12</c:v>
                </c:pt>
                <c:pt idx="4">
                  <c:v>24</c:v>
                </c:pt>
                <c:pt idx="5">
                  <c:v>20</c:v>
                </c:pt>
                <c:pt idx="6">
                  <c:v>10</c:v>
                </c:pt>
                <c:pt idx="7">
                  <c:v>11</c:v>
                </c:pt>
                <c:pt idx="8">
                  <c:v>20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27-49F1-9110-B7FEF5BF1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4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10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rtSteps" displayName="StartSteps" ref="A6:C12">
  <tableColumns count="3">
    <tableColumn id="1" xr3:uid="{00000000-0010-0000-0000-000001000000}" name="Step"/>
    <tableColumn id="2" xr3:uid="{00000000-0010-0000-0000-000002000000}" name="What to do"/>
    <tableColumn id="3" xr3:uid="{00000000-0010-0000-0000-000003000000}" name="Whe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1000000}" name="DashboardKPIs" displayName="DashboardKPIs" ref="A3:C10">
  <tableColumns count="3">
    <tableColumn id="1" xr3:uid="{00000000-0010-0000-0100-000001000000}" name="KPI"/>
    <tableColumn id="2" xr3:uid="{00000000-0010-0000-0100-000002000000}" name="Value"/>
    <tableColumn id="3" xr3:uid="{00000000-0010-0000-0100-000003000000}" name="Manager Re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ContractsTbl" displayName="ContractsTbl" ref="A3:K15">
  <tableColumns count="11">
    <tableColumn id="1" xr3:uid="{00000000-0010-0000-0200-000001000000}" name="Client"/>
    <tableColumn id="2" xr3:uid="{00000000-0010-0000-0200-000002000000}" name="Site Address"/>
    <tableColumn id="3" xr3:uid="{00000000-0010-0000-0200-000003000000}" name="Service Type"/>
    <tableColumn id="4" xr3:uid="{00000000-0010-0000-0200-000004000000}" name="Sq Ft"/>
    <tableColumn id="5" xr3:uid="{00000000-0010-0000-0200-000005000000}" name="Days/Week"/>
    <tableColumn id="6" xr3:uid="{00000000-0010-0000-0200-000006000000}" name="Headcount"/>
    <tableColumn id="7" xr3:uid="{00000000-0010-0000-0200-000007000000}" name="Priority"/>
    <tableColumn id="8" xr3:uid="{00000000-0010-0000-0200-000008000000}" name="Start Date"/>
    <tableColumn id="9" xr3:uid="{00000000-0010-0000-0200-000009000000}" name="Active"/>
    <tableColumn id="10" xr3:uid="{00000000-0010-0000-0200-00000A000000}" name="Weekly Visits"/>
    <tableColumn id="11" xr3:uid="{00000000-0010-0000-0200-00000B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EmployeesTbl" displayName="EmployeesTbl" ref="A3:L15">
  <tableColumns count="12">
    <tableColumn id="1" xr3:uid="{00000000-0010-0000-0300-000001000000}" name="ID"/>
    <tableColumn id="2" xr3:uid="{00000000-0010-0000-0300-000002000000}" name="Name"/>
    <tableColumn id="3" xr3:uid="{00000000-0010-0000-0300-000003000000}" name="Role"/>
    <tableColumn id="4" xr3:uid="{00000000-0010-0000-0300-000004000000}" name="Pay Rate"/>
    <tableColumn id="5" xr3:uid="{00000000-0010-0000-0300-000005000000}" name="Home Address"/>
    <tableColumn id="6" xr3:uid="{00000000-0010-0000-0300-000006000000}" name="Mon"/>
    <tableColumn id="7" xr3:uid="{00000000-0010-0000-0300-000007000000}" name="Tue"/>
    <tableColumn id="8" xr3:uid="{00000000-0010-0000-0300-000008000000}" name="Wed"/>
    <tableColumn id="9" xr3:uid="{00000000-0010-0000-0300-000009000000}" name="Thu"/>
    <tableColumn id="10" xr3:uid="{00000000-0010-0000-0300-00000A000000}" name="Fri"/>
    <tableColumn id="11" xr3:uid="{00000000-0010-0000-0300-00000B000000}" name="Sat"/>
    <tableColumn id="12" xr3:uid="{00000000-0010-0000-0300-00000C000000}" name="Su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SupplyCatalogTbl" displayName="SupplyCatalogTbl" ref="A3:J13">
  <tableColumns count="10">
    <tableColumn id="1" xr3:uid="{00000000-0010-0000-0400-000001000000}" name="Item ID"/>
    <tableColumn id="2" xr3:uid="{00000000-0010-0000-0400-000002000000}" name="Item"/>
    <tableColumn id="3" xr3:uid="{00000000-0010-0000-0400-000003000000}" name="Category"/>
    <tableColumn id="4" xr3:uid="{00000000-0010-0000-0400-000004000000}" name="Unit"/>
    <tableColumn id="5" xr3:uid="{00000000-0010-0000-0400-000005000000}" name="Base Usage/Visit"/>
    <tableColumn id="6" xr3:uid="{00000000-0010-0000-0400-000006000000}" name="SqFt Usage Factor"/>
    <tableColumn id="7" xr3:uid="{00000000-0010-0000-0400-000007000000}" name="Headcount Factor"/>
    <tableColumn id="8" xr3:uid="{00000000-0010-0000-0400-000008000000}" name="Safety Stock %"/>
    <tableColumn id="9" xr3:uid="{00000000-0010-0000-0400-000009000000}" name="Preferred Vendor"/>
    <tableColumn id="10" xr3:uid="{00000000-0010-0000-0400-00000A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InventoryTbl" displayName="InventoryTbl" ref="A3:M13">
  <tableColumns count="13">
    <tableColumn id="1" xr3:uid="{00000000-0010-0000-0500-000001000000}" name="Item ID"/>
    <tableColumn id="2" xr3:uid="{00000000-0010-0000-0500-000002000000}" name="Item"/>
    <tableColumn id="3" xr3:uid="{00000000-0010-0000-0500-000003000000}" name="Category"/>
    <tableColumn id="4" xr3:uid="{00000000-0010-0000-0500-000004000000}" name="Unit"/>
    <tableColumn id="5" xr3:uid="{00000000-0010-0000-0500-000005000000}" name="Current Stock"/>
    <tableColumn id="6" xr3:uid="{00000000-0010-0000-0500-000006000000}" name="Min Stock"/>
    <tableColumn id="7" xr3:uid="{00000000-0010-0000-0500-000007000000}" name="Max Stock"/>
    <tableColumn id="8" xr3:uid="{00000000-0010-0000-0500-000008000000}" name="Weekly Forecast"/>
    <tableColumn id="9" xr3:uid="{00000000-0010-0000-0500-000009000000}" name="Reorder Point"/>
    <tableColumn id="10" xr3:uid="{00000000-0010-0000-0500-00000A000000}" name="Suggested Order Qty"/>
    <tableColumn id="11" xr3:uid="{00000000-0010-0000-0500-00000B000000}" name="Status"/>
    <tableColumn id="12" xr3:uid="{00000000-0010-0000-0500-00000C000000}" name="Last Count Date"/>
    <tableColumn id="13" xr3:uid="{00000000-0010-0000-0500-00000D000000}" name="Manager 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VendorsTbl" displayName="VendorsTbl" ref="A3:J29">
  <tableColumns count="10">
    <tableColumn id="1" xr3:uid="{00000000-0010-0000-0600-000001000000}" name="Vendor"/>
    <tableColumn id="2" xr3:uid="{00000000-0010-0000-0600-000002000000}" name="Item ID"/>
    <tableColumn id="3" xr3:uid="{00000000-0010-0000-0600-000003000000}" name="Item"/>
    <tableColumn id="4" xr3:uid="{00000000-0010-0000-0600-000004000000}" name="Unit Cost"/>
    <tableColumn id="5" xr3:uid="{00000000-0010-0000-0600-000005000000}" name="Lead Time Days"/>
    <tableColumn id="6" xr3:uid="{00000000-0010-0000-0600-000006000000}" name="Reliability 1-10"/>
    <tableColumn id="7" xr3:uid="{00000000-0010-0000-0600-000007000000}" name="Delivery Score"/>
    <tableColumn id="8" xr3:uid="{00000000-0010-0000-0600-000008000000}" name="Cost Score"/>
    <tableColumn id="9" xr3:uid="{00000000-0010-0000-0600-000009000000}" name="Weighted Score"/>
    <tableColumn id="10" xr3:uid="{00000000-0010-0000-0600-00000A000000}" name="Manager Choi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SupplyForecastTbl" displayName="SupplyForecastTbl" ref="A3:L123">
  <tableColumns count="12">
    <tableColumn id="1" xr3:uid="{00000000-0010-0000-0700-000001000000}" name="Client"/>
    <tableColumn id="2" xr3:uid="{00000000-0010-0000-0700-000002000000}" name="Item ID"/>
    <tableColumn id="3" xr3:uid="{00000000-0010-0000-0700-000003000000}" name="Item"/>
    <tableColumn id="4" xr3:uid="{00000000-0010-0000-0700-000004000000}" name="Service Type"/>
    <tableColumn id="5" xr3:uid="{00000000-0010-0000-0700-000005000000}" name="Weekly Visits"/>
    <tableColumn id="6" xr3:uid="{00000000-0010-0000-0700-000006000000}" name="Headcount"/>
    <tableColumn id="7" xr3:uid="{00000000-0010-0000-0700-000007000000}" name="Sq Ft"/>
    <tableColumn id="8" xr3:uid="{00000000-0010-0000-0700-000008000000}" name="Service Factor"/>
    <tableColumn id="9" xr3:uid="{00000000-0010-0000-0700-000009000000}" name="Base Usage"/>
    <tableColumn id="10" xr3:uid="{00000000-0010-0000-0700-00000A000000}" name="Weekly Qty"/>
    <tableColumn id="11" xr3:uid="{00000000-0010-0000-0700-00000B000000}" name="Monthly Qty"/>
    <tableColumn id="12" xr3:uid="{00000000-0010-0000-0700-00000C000000}" name="Prior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PurchaseOrdersTbl" displayName="PurchaseOrdersTbl" ref="A3:N13">
  <tableColumns count="14">
    <tableColumn id="1" xr3:uid="{00000000-0010-0000-0800-000001000000}" name="PO #"/>
    <tableColumn id="2" xr3:uid="{00000000-0010-0000-0800-000002000000}" name="Item ID"/>
    <tableColumn id="3" xr3:uid="{00000000-0010-0000-0800-000003000000}" name="Item"/>
    <tableColumn id="4" xr3:uid="{00000000-0010-0000-0800-000004000000}" name="Status"/>
    <tableColumn id="5" xr3:uid="{00000000-0010-0000-0800-000005000000}" name="Priority"/>
    <tableColumn id="6" xr3:uid="{00000000-0010-0000-0800-000006000000}" name="Current Stock"/>
    <tableColumn id="7" xr3:uid="{00000000-0010-0000-0800-000007000000}" name="Reorder Point"/>
    <tableColumn id="8" xr3:uid="{00000000-0010-0000-0800-000008000000}" name="Suggested Qty"/>
    <tableColumn id="9" xr3:uid="{00000000-0010-0000-0800-000009000000}" name="Recommended Vendor"/>
    <tableColumn id="10" xr3:uid="{00000000-0010-0000-0800-00000A000000}" name="Unit Cost"/>
    <tableColumn id="11" xr3:uid="{00000000-0010-0000-0800-00000B000000}" name="Estimated Cost"/>
    <tableColumn id="12" xr3:uid="{00000000-0010-0000-0800-00000C000000}" name="Lead Time Days"/>
    <tableColumn id="13" xr3:uid="{00000000-0010-0000-0800-00000D000000}" name="ETA"/>
    <tableColumn id="14" xr3:uid="{00000000-0010-0000-0800-00000E000000}" name="Manager 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UsageLogTbl" displayName="UsageLogTbl" ref="A3:K23">
  <tableColumns count="11">
    <tableColumn id="1" xr3:uid="{00000000-0010-0000-0900-000001000000}" name="Date"/>
    <tableColumn id="2" xr3:uid="{00000000-0010-0000-0900-000002000000}" name="Client"/>
    <tableColumn id="3" xr3:uid="{00000000-0010-0000-0900-000003000000}" name="Item ID"/>
    <tableColumn id="4" xr3:uid="{00000000-0010-0000-0900-000004000000}" name="Item"/>
    <tableColumn id="5" xr3:uid="{00000000-0010-0000-0900-000005000000}" name="Qty Used"/>
    <tableColumn id="6" xr3:uid="{00000000-0010-0000-0900-000006000000}" name="Entered By"/>
    <tableColumn id="7" xr3:uid="{00000000-0010-0000-0900-000007000000}" name="Reason"/>
    <tableColumn id="8" xr3:uid="{00000000-0010-0000-0900-000008000000}" name="Contract Priority"/>
    <tableColumn id="9" xr3:uid="{00000000-0010-0000-0900-000009000000}" name="Month"/>
    <tableColumn id="10" xr3:uid="{00000000-0010-0000-0900-00000A000000}" name="Week"/>
    <tableColumn id="11" xr3:uid="{00000000-0010-0000-0900-00000B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A000000}" name="ServiceFactors" displayName="ServiceFactors" ref="A3:B10">
  <tableColumns count="2">
    <tableColumn id="1" xr3:uid="{00000000-0010-0000-0A00-000001000000}" name="Service Type"/>
    <tableColumn id="2" xr3:uid="{00000000-0010-0000-0A00-000002000000}" name="Usage Facto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B000000}" name="POStatusList" displayName="POStatusList" ref="D3:D8">
  <tableColumns count="1">
    <tableColumn id="1" xr3:uid="{00000000-0010-0000-0B00-000001000000}" name="PO 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PriorityList" displayName="PriorityList" ref="F3:F7">
  <tableColumns count="1">
    <tableColumn id="1" xr3:uid="{00000000-0010-0000-0C00-000001000000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workbookViewId="0">
      <selection sqref="A1:H1"/>
    </sheetView>
  </sheetViews>
  <sheetFormatPr defaultRowHeight="14.25"/>
  <cols>
    <col min="1" max="1" width="18" customWidth="1"/>
    <col min="2" max="2" width="24" customWidth="1"/>
    <col min="3" max="3" width="18" customWidth="1"/>
    <col min="4" max="26" width="16" customWidth="1"/>
  </cols>
  <sheetData>
    <row r="1" spans="1:26" ht="27.95" customHeight="1">
      <c r="A1" s="21" t="s">
        <v>0</v>
      </c>
      <c r="B1" s="22"/>
      <c r="C1" s="22"/>
      <c r="D1" s="22"/>
      <c r="E1" s="22"/>
      <c r="F1" s="22"/>
      <c r="G1" s="22"/>
      <c r="H1" s="2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5">
      <c r="A3" s="1" t="s">
        <v>1</v>
      </c>
      <c r="B3" s="1"/>
      <c r="C3" s="1"/>
      <c r="D3" s="1"/>
      <c r="E3" s="1"/>
      <c r="F3" s="1"/>
      <c r="G3" s="1"/>
      <c r="H3" s="1"/>
    </row>
    <row r="4" spans="1:26" ht="42" customHeight="1">
      <c r="A4" s="22" t="s">
        <v>2</v>
      </c>
      <c r="B4" s="23"/>
      <c r="C4" s="23"/>
      <c r="D4" s="23"/>
      <c r="E4" s="23"/>
      <c r="F4" s="23"/>
      <c r="G4" s="23"/>
      <c r="H4" s="23"/>
    </row>
    <row r="6" spans="1:26" ht="15">
      <c r="A6" s="3" t="s">
        <v>3</v>
      </c>
      <c r="B6" s="3" t="s">
        <v>4</v>
      </c>
      <c r="C6" s="3" t="s">
        <v>5</v>
      </c>
      <c r="E6" s="3" t="s">
        <v>6</v>
      </c>
      <c r="F6" s="3"/>
      <c r="G6" s="3"/>
      <c r="H6" s="3"/>
    </row>
    <row r="7" spans="1:26">
      <c r="A7" t="s">
        <v>7</v>
      </c>
      <c r="B7" t="s">
        <v>8</v>
      </c>
      <c r="C7" t="s">
        <v>9</v>
      </c>
      <c r="E7" s="22" t="s">
        <v>10</v>
      </c>
      <c r="F7" s="23"/>
      <c r="G7" s="23"/>
      <c r="H7" s="23"/>
    </row>
    <row r="8" spans="1:26">
      <c r="A8" t="s">
        <v>11</v>
      </c>
      <c r="B8" t="s">
        <v>12</v>
      </c>
      <c r="C8" t="s">
        <v>13</v>
      </c>
      <c r="E8" s="23" t="s">
        <v>14</v>
      </c>
      <c r="F8" s="23"/>
      <c r="G8" s="23"/>
      <c r="H8" s="23"/>
    </row>
    <row r="9" spans="1:26">
      <c r="A9" t="s">
        <v>15</v>
      </c>
      <c r="B9" t="s">
        <v>16</v>
      </c>
      <c r="C9" t="s">
        <v>17</v>
      </c>
      <c r="E9" s="23" t="s">
        <v>18</v>
      </c>
      <c r="F9" s="23"/>
      <c r="G9" s="23"/>
      <c r="H9" s="23"/>
    </row>
    <row r="10" spans="1:26">
      <c r="A10" t="s">
        <v>19</v>
      </c>
      <c r="B10" t="s">
        <v>20</v>
      </c>
      <c r="C10" t="s">
        <v>21</v>
      </c>
    </row>
    <row r="11" spans="1:26">
      <c r="A11" t="s">
        <v>22</v>
      </c>
      <c r="B11" t="s">
        <v>23</v>
      </c>
      <c r="C11" t="s">
        <v>24</v>
      </c>
    </row>
    <row r="12" spans="1:26">
      <c r="A12" t="s">
        <v>25</v>
      </c>
      <c r="B12" t="s">
        <v>26</v>
      </c>
      <c r="C12" t="s">
        <v>27</v>
      </c>
    </row>
  </sheetData>
  <mergeCells count="3">
    <mergeCell ref="A1:H1"/>
    <mergeCell ref="A4:H4"/>
    <mergeCell ref="E7:H9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"/>
  <sheetViews>
    <sheetView workbookViewId="0"/>
  </sheetViews>
  <sheetFormatPr defaultRowHeight="14.25"/>
  <cols>
    <col min="1" max="1" width="33.625" customWidth="1"/>
    <col min="2" max="2" width="11.125" customWidth="1"/>
    <col min="3" max="3" width="19.125" customWidth="1"/>
    <col min="4" max="4" width="11.625" customWidth="1"/>
    <col min="5" max="5" width="19.75" customWidth="1"/>
    <col min="6" max="6" width="64.75" customWidth="1"/>
    <col min="7" max="7" width="11.125" customWidth="1"/>
    <col min="8" max="8" width="5.5" customWidth="1"/>
    <col min="9" max="9" width="11.75" customWidth="1"/>
    <col min="10" max="10" width="12.5" customWidth="1"/>
    <col min="11" max="26" width="16" customWidth="1"/>
  </cols>
  <sheetData>
    <row r="1" spans="1:26" ht="27.95" customHeight="1">
      <c r="A1" s="14" t="s">
        <v>28</v>
      </c>
      <c r="B1" s="14"/>
      <c r="C1" s="14"/>
      <c r="D1" s="14"/>
      <c r="E1" s="14"/>
      <c r="F1" s="14"/>
      <c r="G1" s="14"/>
      <c r="H1" s="14"/>
      <c r="I1" s="14"/>
      <c r="J1" s="14"/>
      <c r="K1" s="9"/>
      <c r="L1" s="9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5">
      <c r="A3" s="16" t="s">
        <v>29</v>
      </c>
      <c r="B3" s="16" t="s">
        <v>30</v>
      </c>
      <c r="C3" s="16" t="s">
        <v>31</v>
      </c>
      <c r="D3" s="20"/>
      <c r="E3" s="17" t="s">
        <v>32</v>
      </c>
      <c r="F3" s="17"/>
      <c r="G3" s="17"/>
      <c r="H3" s="17"/>
      <c r="I3" s="17"/>
      <c r="J3" s="17"/>
      <c r="L3" s="12" t="s">
        <v>33</v>
      </c>
      <c r="M3" s="12" t="s">
        <v>34</v>
      </c>
      <c r="N3" s="12" t="s">
        <v>35</v>
      </c>
      <c r="O3" s="12" t="s">
        <v>36</v>
      </c>
    </row>
    <row r="4" spans="1:26" ht="30">
      <c r="A4" t="s">
        <v>37</v>
      </c>
      <c r="B4">
        <f>COUNTIF('Purchase Orders'!$D$4:$D$13,"Draft")</f>
        <v>10</v>
      </c>
      <c r="C4" t="s">
        <v>38</v>
      </c>
      <c r="E4" s="8" t="s">
        <v>33</v>
      </c>
      <c r="F4" s="8" t="s">
        <v>34</v>
      </c>
      <c r="G4" s="8" t="s">
        <v>35</v>
      </c>
      <c r="H4" s="8" t="s">
        <v>39</v>
      </c>
      <c r="I4" s="8" t="s">
        <v>36</v>
      </c>
      <c r="J4" s="8" t="s">
        <v>40</v>
      </c>
      <c r="L4" t="str">
        <f t="shared" ref="L4:L13" si="0">E5</f>
        <v>Trash Liners 55 Gal</v>
      </c>
      <c r="M4" s="7">
        <f t="shared" ref="M4:M13" si="1">F5</f>
        <v>28</v>
      </c>
      <c r="N4" s="7">
        <f t="shared" ref="N4:N13" si="2">G5</f>
        <v>91</v>
      </c>
      <c r="O4" s="7">
        <f t="shared" ref="O4:O13" si="3">I5</f>
        <v>38</v>
      </c>
    </row>
    <row r="5" spans="1:26">
      <c r="A5" t="s">
        <v>41</v>
      </c>
      <c r="B5">
        <f>COUNTIF(Inventory!$K$4:$K$13,"ORDER")</f>
        <v>10</v>
      </c>
      <c r="C5" t="s">
        <v>42</v>
      </c>
      <c r="E5" t="str">
        <f>IFERROR(INDEX(Inventory!$B$4:$B$13,MATCH(1,Inventory!$N$4:$N$13,0)),"")</f>
        <v>Trash Liners 55 Gal</v>
      </c>
      <c r="F5" s="7">
        <f>IFERROR(INDEX(Inventory!$E$4:$E$13,MATCH(1,Inventory!$N$4:$N$13,0)),"")</f>
        <v>28</v>
      </c>
      <c r="G5" s="7">
        <f>IFERROR(INDEX(Inventory!$I$4:$I$13,MATCH(1,Inventory!$N$4:$N$13,0)),"")</f>
        <v>91</v>
      </c>
      <c r="H5" t="str">
        <f>IFERROR(INDEX(Inventory!$K$4:$K$13,MATCH(1,Inventory!$N$4:$N$13,0)),"")</f>
        <v>ORDER</v>
      </c>
      <c r="I5" s="7">
        <f>IFERROR(INDEX(Inventory!$J$4:$J$13,MATCH(1,Inventory!$N$4:$N$13,0)),"")</f>
        <v>38</v>
      </c>
      <c r="J5" t="str">
        <f>IFERROR(INDEX('Purchase Orders'!$I$4:$I$13,MATCH(INDEX(Inventory!$A$4:$A$13,MATCH(1,Inventory!$N$4:$N$13,0)),'Purchase Orders'!$B$4:$B$13,0)),"")</f>
        <v>CleanCo Supply</v>
      </c>
      <c r="L5" t="str">
        <f t="shared" si="0"/>
        <v>Nitrile Gloves</v>
      </c>
      <c r="M5" s="7">
        <f t="shared" si="1"/>
        <v>45</v>
      </c>
      <c r="N5" s="7">
        <f t="shared" si="2"/>
        <v>132</v>
      </c>
      <c r="O5" s="7">
        <f t="shared" si="3"/>
        <v>75</v>
      </c>
    </row>
    <row r="6" spans="1:26">
      <c r="A6" t="s">
        <v>43</v>
      </c>
      <c r="B6">
        <f>COUNTIF(Inventory!$K$4:$K$13,"WATCH")</f>
        <v>0</v>
      </c>
      <c r="C6" t="s">
        <v>44</v>
      </c>
      <c r="E6" t="str">
        <f>IFERROR(INDEX(Inventory!$B$4:$B$13,MATCH(2,Inventory!$N$4:$N$13,0)),"")</f>
        <v>Nitrile Gloves</v>
      </c>
      <c r="F6" s="7">
        <f>IFERROR(INDEX(Inventory!$E$4:$E$13,MATCH(2,Inventory!$N$4:$N$13,0)),"")</f>
        <v>45</v>
      </c>
      <c r="G6" s="7">
        <f>IFERROR(INDEX(Inventory!$I$4:$I$13,MATCH(2,Inventory!$N$4:$N$13,0)),"")</f>
        <v>132</v>
      </c>
      <c r="H6" t="str">
        <f>IFERROR(INDEX(Inventory!$K$4:$K$13,MATCH(2,Inventory!$N$4:$N$13,0)),"")</f>
        <v>ORDER</v>
      </c>
      <c r="I6" s="7">
        <f>IFERROR(INDEX(Inventory!$J$4:$J$13,MATCH(2,Inventory!$N$4:$N$13,0)),"")</f>
        <v>75</v>
      </c>
      <c r="J6" t="str">
        <f>IFERROR(INDEX('Purchase Orders'!$I$4:$I$13,MATCH(INDEX(Inventory!$A$4:$A$13,MATCH(2,Inventory!$N$4:$N$13,0)),'Purchase Orders'!$B$4:$B$13,0)),"")</f>
        <v>Facility Depot</v>
      </c>
      <c r="L6" t="str">
        <f t="shared" si="0"/>
        <v>Disinfectant Concentrate</v>
      </c>
      <c r="M6" s="7">
        <f t="shared" si="1"/>
        <v>14</v>
      </c>
      <c r="N6" s="7">
        <f t="shared" si="2"/>
        <v>83</v>
      </c>
      <c r="O6" s="7">
        <f t="shared" si="3"/>
        <v>22</v>
      </c>
    </row>
    <row r="7" spans="1:26">
      <c r="A7" t="s">
        <v>45</v>
      </c>
      <c r="B7" s="5">
        <f>SUM(Inventory!$H$4:$H$13)</f>
        <v>391.4</v>
      </c>
      <c r="C7" t="s">
        <v>46</v>
      </c>
      <c r="E7" t="str">
        <f>IFERROR(INDEX(Inventory!$B$4:$B$13,MATCH(3,Inventory!$N$4:$N$13,0)),"")</f>
        <v>Disinfectant Concentrate</v>
      </c>
      <c r="F7" s="7">
        <f>IFERROR(INDEX(Inventory!$E$4:$E$13,MATCH(3,Inventory!$N$4:$N$13,0)),"")</f>
        <v>14</v>
      </c>
      <c r="G7" s="7">
        <f>IFERROR(INDEX(Inventory!$I$4:$I$13,MATCH(3,Inventory!$N$4:$N$13,0)),"")</f>
        <v>83</v>
      </c>
      <c r="H7" t="str">
        <f>IFERROR(INDEX(Inventory!$K$4:$K$13,MATCH(3,Inventory!$N$4:$N$13,0)),"")</f>
        <v>ORDER</v>
      </c>
      <c r="I7" s="7">
        <f>IFERROR(INDEX(Inventory!$J$4:$J$13,MATCH(3,Inventory!$N$4:$N$13,0)),"")</f>
        <v>22</v>
      </c>
      <c r="J7" t="str">
        <f>IFERROR(INDEX('Purchase Orders'!$I$4:$I$13,MATCH(INDEX(Inventory!$A$4:$A$13,MATCH(3,Inventory!$N$4:$N$13,0)),'Purchase Orders'!$B$4:$B$13,0)),"")</f>
        <v>Janitorial Direct</v>
      </c>
      <c r="L7" t="str">
        <f t="shared" si="0"/>
        <v>Glass Cleaner</v>
      </c>
      <c r="M7" s="7">
        <f t="shared" si="1"/>
        <v>12</v>
      </c>
      <c r="N7" s="7">
        <f t="shared" si="2"/>
        <v>49</v>
      </c>
      <c r="O7" s="7">
        <f t="shared" si="3"/>
        <v>12</v>
      </c>
    </row>
    <row r="8" spans="1:26">
      <c r="A8" t="s">
        <v>47</v>
      </c>
      <c r="B8" s="18">
        <f>SUM('Purchase Orders'!$K$4:$K$13)</f>
        <v>7257</v>
      </c>
      <c r="C8" t="s">
        <v>48</v>
      </c>
      <c r="E8" t="str">
        <f>IFERROR(INDEX(Inventory!$B$4:$B$13,MATCH(4,Inventory!$N$4:$N$13,0)),"")</f>
        <v>Glass Cleaner</v>
      </c>
      <c r="F8" s="7">
        <f>IFERROR(INDEX(Inventory!$E$4:$E$13,MATCH(4,Inventory!$N$4:$N$13,0)),"")</f>
        <v>12</v>
      </c>
      <c r="G8" s="7">
        <f>IFERROR(INDEX(Inventory!$I$4:$I$13,MATCH(4,Inventory!$N$4:$N$13,0)),"")</f>
        <v>49</v>
      </c>
      <c r="H8" t="str">
        <f>IFERROR(INDEX(Inventory!$K$4:$K$13,MATCH(4,Inventory!$N$4:$N$13,0)),"")</f>
        <v>ORDER</v>
      </c>
      <c r="I8" s="7">
        <f>IFERROR(INDEX(Inventory!$J$4:$J$13,MATCH(4,Inventory!$N$4:$N$13,0)),"")</f>
        <v>12</v>
      </c>
      <c r="J8" t="str">
        <f>IFERROR(INDEX('Purchase Orders'!$I$4:$I$13,MATCH(INDEX(Inventory!$A$4:$A$13,MATCH(4,Inventory!$N$4:$N$13,0)),'Purchase Orders'!$B$4:$B$13,0)),"")</f>
        <v>CleanCo Supply</v>
      </c>
      <c r="L8" t="str">
        <f t="shared" si="0"/>
        <v>Paper Towels</v>
      </c>
      <c r="M8" s="7">
        <f t="shared" si="1"/>
        <v>18</v>
      </c>
      <c r="N8" s="7">
        <f t="shared" si="2"/>
        <v>96</v>
      </c>
      <c r="O8" s="7">
        <f t="shared" si="3"/>
        <v>24</v>
      </c>
    </row>
    <row r="9" spans="1:26">
      <c r="A9" t="s">
        <v>49</v>
      </c>
      <c r="B9">
        <f>COUNTIF(Contracts!$I$4:$I$15,"Yes")</f>
        <v>12</v>
      </c>
      <c r="C9" t="s">
        <v>50</v>
      </c>
      <c r="E9" t="str">
        <f>IFERROR(INDEX(Inventory!$B$4:$B$13,MATCH(5,Inventory!$N$4:$N$13,0)),"")</f>
        <v>Paper Towels</v>
      </c>
      <c r="F9" s="7">
        <f>IFERROR(INDEX(Inventory!$E$4:$E$13,MATCH(5,Inventory!$N$4:$N$13,0)),"")</f>
        <v>18</v>
      </c>
      <c r="G9" s="7">
        <f>IFERROR(INDEX(Inventory!$I$4:$I$13,MATCH(5,Inventory!$N$4:$N$13,0)),"")</f>
        <v>96</v>
      </c>
      <c r="H9" t="str">
        <f>IFERROR(INDEX(Inventory!$K$4:$K$13,MATCH(5,Inventory!$N$4:$N$13,0)),"")</f>
        <v>ORDER</v>
      </c>
      <c r="I9" s="7">
        <f>IFERROR(INDEX(Inventory!$J$4:$J$13,MATCH(5,Inventory!$N$4:$N$13,0)),"")</f>
        <v>24</v>
      </c>
      <c r="J9" t="str">
        <f>IFERROR(INDEX('Purchase Orders'!$I$4:$I$13,MATCH(INDEX(Inventory!$A$4:$A$13,MATCH(5,Inventory!$N$4:$N$13,0)),'Purchase Orders'!$B$4:$B$13,0)),"")</f>
        <v>Facility Depot</v>
      </c>
      <c r="L9" t="str">
        <f t="shared" si="0"/>
        <v>Toilet Tissue</v>
      </c>
      <c r="M9" s="7">
        <f t="shared" si="1"/>
        <v>16</v>
      </c>
      <c r="N9" s="7">
        <f t="shared" si="2"/>
        <v>84</v>
      </c>
      <c r="O9" s="7">
        <f t="shared" si="3"/>
        <v>20</v>
      </c>
    </row>
    <row r="10" spans="1:26">
      <c r="A10" t="s">
        <v>51</v>
      </c>
      <c r="B10">
        <f>COUNTIFS(Contracts!$I$4:$I$15,"Yes",Contracts!$G$4:$G$15,"High")+COUNTIFS(Contracts!$I$4:$I$15,"Yes",Contracts!$G$4:$G$15,"Critical")</f>
        <v>5</v>
      </c>
      <c r="C10" t="s">
        <v>52</v>
      </c>
      <c r="E10" t="str">
        <f>IFERROR(INDEX(Inventory!$B$4:$B$13,MATCH(6,Inventory!$N$4:$N$13,0)),"")</f>
        <v>Toilet Tissue</v>
      </c>
      <c r="F10" s="7">
        <f>IFERROR(INDEX(Inventory!$E$4:$E$13,MATCH(6,Inventory!$N$4:$N$13,0)),"")</f>
        <v>16</v>
      </c>
      <c r="G10" s="7">
        <f>IFERROR(INDEX(Inventory!$I$4:$I$13,MATCH(6,Inventory!$N$4:$N$13,0)),"")</f>
        <v>84</v>
      </c>
      <c r="H10" t="str">
        <f>IFERROR(INDEX(Inventory!$K$4:$K$13,MATCH(6,Inventory!$N$4:$N$13,0)),"")</f>
        <v>ORDER</v>
      </c>
      <c r="I10" s="7">
        <f>IFERROR(INDEX(Inventory!$J$4:$J$13,MATCH(6,Inventory!$N$4:$N$13,0)),"")</f>
        <v>20</v>
      </c>
      <c r="J10" t="str">
        <f>IFERROR(INDEX('Purchase Orders'!$I$4:$I$13,MATCH(INDEX(Inventory!$A$4:$A$13,MATCH(6,Inventory!$N$4:$N$13,0)),'Purchase Orders'!$B$4:$B$13,0)),"")</f>
        <v>CleanCo Supply</v>
      </c>
      <c r="L10" t="str">
        <f t="shared" si="0"/>
        <v>Microfiber Towels</v>
      </c>
      <c r="M10" s="7">
        <f t="shared" si="1"/>
        <v>20</v>
      </c>
      <c r="N10" s="7">
        <f t="shared" si="2"/>
        <v>42</v>
      </c>
      <c r="O10" s="7">
        <f t="shared" si="3"/>
        <v>10</v>
      </c>
    </row>
    <row r="11" spans="1:26">
      <c r="E11" t="str">
        <f>IFERROR(INDEX(Inventory!$B$4:$B$13,MATCH(7,Inventory!$N$4:$N$13,0)),"")</f>
        <v>Microfiber Towels</v>
      </c>
      <c r="F11" s="7">
        <f>IFERROR(INDEX(Inventory!$E$4:$E$13,MATCH(7,Inventory!$N$4:$N$13,0)),"")</f>
        <v>20</v>
      </c>
      <c r="G11" s="7">
        <f>IFERROR(INDEX(Inventory!$I$4:$I$13,MATCH(7,Inventory!$N$4:$N$13,0)),"")</f>
        <v>42</v>
      </c>
      <c r="H11" t="str">
        <f>IFERROR(INDEX(Inventory!$K$4:$K$13,MATCH(7,Inventory!$N$4:$N$13,0)),"")</f>
        <v>ORDER</v>
      </c>
      <c r="I11" s="7">
        <f>IFERROR(INDEX(Inventory!$J$4:$J$13,MATCH(7,Inventory!$N$4:$N$13,0)),"")</f>
        <v>10</v>
      </c>
      <c r="J11" t="str">
        <f>IFERROR(INDEX('Purchase Orders'!$I$4:$I$13,MATCH(INDEX(Inventory!$A$4:$A$13,MATCH(7,Inventory!$N$4:$N$13,0)),'Purchase Orders'!$B$4:$B$13,0)),"")</f>
        <v>CleanCo Supply</v>
      </c>
      <c r="L11" t="str">
        <f t="shared" si="0"/>
        <v>Mop Heads</v>
      </c>
      <c r="M11" s="7">
        <f t="shared" si="1"/>
        <v>13</v>
      </c>
      <c r="N11" s="7">
        <f t="shared" si="2"/>
        <v>28</v>
      </c>
      <c r="O11" s="7">
        <f t="shared" si="3"/>
        <v>11</v>
      </c>
    </row>
    <row r="12" spans="1:26">
      <c r="E12" t="str">
        <f>IFERROR(INDEX(Inventory!$B$4:$B$13,MATCH(8,Inventory!$N$4:$N$13,0)),"")</f>
        <v>Mop Heads</v>
      </c>
      <c r="F12" s="7">
        <f>IFERROR(INDEX(Inventory!$E$4:$E$13,MATCH(8,Inventory!$N$4:$N$13,0)),"")</f>
        <v>13</v>
      </c>
      <c r="G12" s="7">
        <f>IFERROR(INDEX(Inventory!$I$4:$I$13,MATCH(8,Inventory!$N$4:$N$13,0)),"")</f>
        <v>28</v>
      </c>
      <c r="H12" t="str">
        <f>IFERROR(INDEX(Inventory!$K$4:$K$13,MATCH(8,Inventory!$N$4:$N$13,0)),"")</f>
        <v>ORDER</v>
      </c>
      <c r="I12" s="7">
        <f>IFERROR(INDEX(Inventory!$J$4:$J$13,MATCH(8,Inventory!$N$4:$N$13,0)),"")</f>
        <v>11</v>
      </c>
      <c r="J12" t="str">
        <f>IFERROR(INDEX('Purchase Orders'!$I$4:$I$13,MATCH(INDEX(Inventory!$A$4:$A$13,MATCH(8,Inventory!$N$4:$N$13,0)),'Purchase Orders'!$B$4:$B$13,0)),"")</f>
        <v>Janitorial Direct</v>
      </c>
      <c r="L12" t="str">
        <f t="shared" si="0"/>
        <v>Floor Cleaner</v>
      </c>
      <c r="M12" s="7">
        <f t="shared" si="1"/>
        <v>10</v>
      </c>
      <c r="N12" s="7">
        <f t="shared" si="2"/>
        <v>74</v>
      </c>
      <c r="O12" s="7">
        <f t="shared" si="3"/>
        <v>20</v>
      </c>
    </row>
    <row r="13" spans="1:26" ht="15">
      <c r="A13" s="1" t="s">
        <v>53</v>
      </c>
      <c r="B13" s="1"/>
      <c r="C13" s="1"/>
      <c r="D13" s="1"/>
      <c r="E13" t="str">
        <f>IFERROR(INDEX(Inventory!$B$4:$B$13,MATCH(9,Inventory!$N$4:$N$13,0)),"")</f>
        <v>Floor Cleaner</v>
      </c>
      <c r="F13" s="7">
        <f>IFERROR(INDEX(Inventory!$E$4:$E$13,MATCH(9,Inventory!$N$4:$N$13,0)),"")</f>
        <v>10</v>
      </c>
      <c r="G13" s="7">
        <f>IFERROR(INDEX(Inventory!$I$4:$I$13,MATCH(9,Inventory!$N$4:$N$13,0)),"")</f>
        <v>74</v>
      </c>
      <c r="H13" t="str">
        <f>IFERROR(INDEX(Inventory!$K$4:$K$13,MATCH(9,Inventory!$N$4:$N$13,0)),"")</f>
        <v>ORDER</v>
      </c>
      <c r="I13" s="7">
        <f>IFERROR(INDEX(Inventory!$J$4:$J$13,MATCH(9,Inventory!$N$4:$N$13,0)),"")</f>
        <v>20</v>
      </c>
      <c r="J13" t="str">
        <f>IFERROR(INDEX('Purchase Orders'!$I$4:$I$13,MATCH(INDEX(Inventory!$A$4:$A$13,MATCH(9,Inventory!$N$4:$N$13,0)),'Purchase Orders'!$B$4:$B$13,0)),"")</f>
        <v>Janitorial Direct</v>
      </c>
      <c r="L13" t="str">
        <f t="shared" si="0"/>
        <v>Hand Soap Refill</v>
      </c>
      <c r="M13" s="7">
        <f t="shared" si="1"/>
        <v>11</v>
      </c>
      <c r="N13" s="7">
        <f t="shared" si="2"/>
        <v>56</v>
      </c>
      <c r="O13" s="7">
        <f t="shared" si="3"/>
        <v>13</v>
      </c>
    </row>
    <row r="14" spans="1:26" ht="30">
      <c r="A14" s="16" t="s">
        <v>40</v>
      </c>
      <c r="B14" s="16" t="s">
        <v>54</v>
      </c>
      <c r="C14" s="16" t="s">
        <v>55</v>
      </c>
      <c r="D14" s="16" t="s">
        <v>56</v>
      </c>
      <c r="E14" t="str">
        <f>IFERROR(INDEX(Inventory!$B$4:$B$13,MATCH(10,Inventory!$N$4:$N$13,0)),"")</f>
        <v>Hand Soap Refill</v>
      </c>
      <c r="F14" s="7">
        <f>IFERROR(INDEX(Inventory!$E$4:$E$13,MATCH(10,Inventory!$N$4:$N$13,0)),"")</f>
        <v>11</v>
      </c>
      <c r="G14" s="7">
        <f>IFERROR(INDEX(Inventory!$I$4:$I$13,MATCH(10,Inventory!$N$4:$N$13,0)),"")</f>
        <v>56</v>
      </c>
      <c r="H14" t="str">
        <f>IFERROR(INDEX(Inventory!$K$4:$K$13,MATCH(10,Inventory!$N$4:$N$13,0)),"")</f>
        <v>ORDER</v>
      </c>
      <c r="I14" s="7">
        <f>IFERROR(INDEX(Inventory!$J$4:$J$13,MATCH(10,Inventory!$N$4:$N$13,0)),"")</f>
        <v>13</v>
      </c>
      <c r="J14" t="str">
        <f>IFERROR(INDEX('Purchase Orders'!$I$4:$I$13,MATCH(INDEX(Inventory!$A$4:$A$13,MATCH(10,Inventory!$N$4:$N$13,0)),'Purchase Orders'!$B$4:$B$13,0)),"")</f>
        <v>Facility Depot</v>
      </c>
    </row>
    <row r="15" spans="1:26">
      <c r="A15" t="s">
        <v>177</v>
      </c>
      <c r="B15" s="18">
        <f>SUMIFS('Purchase Orders'!$K$4:$K$13,'Purchase Orders'!$I$4:$I$13,A15)</f>
        <v>2168</v>
      </c>
      <c r="C15" s="11">
        <f>COUNTIFS('Purchase Orders'!$I$4:$I$13,A15)</f>
        <v>4</v>
      </c>
      <c r="D15" s="11">
        <f>IFERROR(AVERAGEIFS('Purchase Orders'!$L$4:$L$13,'Purchase Orders'!$I$4:$I$13,A15),0)</f>
        <v>2.75</v>
      </c>
    </row>
    <row r="16" spans="1:26">
      <c r="A16" t="s">
        <v>182</v>
      </c>
      <c r="B16" s="18">
        <f>SUMIFS('Purchase Orders'!$K$4:$K$13,'Purchase Orders'!$I$4:$I$13,A16)</f>
        <v>4101</v>
      </c>
      <c r="C16" s="11">
        <f>COUNTIFS('Purchase Orders'!$I$4:$I$13,A16)</f>
        <v>3</v>
      </c>
      <c r="D16" s="11">
        <f>IFERROR(AVERAGEIFS('Purchase Orders'!$L$4:$L$13,'Purchase Orders'!$I$4:$I$13,A16),0)</f>
        <v>3.3333333333333335</v>
      </c>
    </row>
    <row r="17" spans="1:12" ht="15">
      <c r="A17" t="s">
        <v>188</v>
      </c>
      <c r="B17" s="18">
        <f>SUMIFS('Purchase Orders'!$K$4:$K$13,'Purchase Orders'!$I$4:$I$13,A17)</f>
        <v>988</v>
      </c>
      <c r="C17" s="11">
        <f>COUNTIFS('Purchase Orders'!$I$4:$I$13,A17)</f>
        <v>3</v>
      </c>
      <c r="D17" s="11">
        <f>IFERROR(AVERAGEIFS('Purchase Orders'!$L$4:$L$13,'Purchase Orders'!$I$4:$I$13,A17),0)</f>
        <v>2.6666666666666665</v>
      </c>
      <c r="E17" s="1" t="s">
        <v>57</v>
      </c>
      <c r="F17" s="1"/>
      <c r="G17" s="1"/>
      <c r="H17" s="1"/>
      <c r="I17" s="1"/>
      <c r="J17" s="1"/>
      <c r="K17" s="1"/>
      <c r="L17" s="1"/>
    </row>
    <row r="18" spans="1:12">
      <c r="E18" s="2" t="s">
        <v>7</v>
      </c>
      <c r="F18" s="2" t="s">
        <v>58</v>
      </c>
      <c r="G18" s="2"/>
      <c r="H18" s="2"/>
      <c r="I18" s="2"/>
      <c r="J18" s="2"/>
      <c r="K18" s="2"/>
      <c r="L18" s="2"/>
    </row>
    <row r="19" spans="1:12">
      <c r="E19" s="2" t="s">
        <v>11</v>
      </c>
      <c r="F19" s="2" t="s">
        <v>59</v>
      </c>
      <c r="G19" s="2"/>
      <c r="H19" s="2"/>
      <c r="I19" s="2"/>
      <c r="J19" s="2"/>
      <c r="K19" s="2"/>
      <c r="L19" s="2"/>
    </row>
    <row r="20" spans="1:12">
      <c r="E20" s="2" t="s">
        <v>15</v>
      </c>
      <c r="F20" s="2" t="s">
        <v>60</v>
      </c>
      <c r="G20" s="2"/>
      <c r="H20" s="2"/>
      <c r="I20" s="2"/>
      <c r="J20" s="2"/>
      <c r="K20" s="2"/>
      <c r="L20" s="2"/>
    </row>
    <row r="21" spans="1:12" ht="28.5">
      <c r="E21" s="2" t="s">
        <v>19</v>
      </c>
      <c r="F21" s="2" t="s">
        <v>61</v>
      </c>
      <c r="G21" s="2"/>
      <c r="H21" s="2"/>
      <c r="I21" s="2"/>
      <c r="J21" s="2"/>
      <c r="K21" s="2"/>
      <c r="L21" s="2"/>
    </row>
    <row r="22" spans="1:12">
      <c r="E22" s="2" t="s">
        <v>22</v>
      </c>
      <c r="F22" s="2" t="s">
        <v>62</v>
      </c>
      <c r="G22" s="2"/>
      <c r="H22" s="2"/>
      <c r="I22" s="2"/>
      <c r="J22" s="2"/>
      <c r="K22" s="2"/>
      <c r="L22" s="2"/>
    </row>
  </sheetData>
  <conditionalFormatting sqref="H5:H14">
    <cfRule type="expression" dxfId="13" priority="1">
      <formula>H5="ORDER"</formula>
    </cfRule>
    <cfRule type="expression" dxfId="12" priority="2">
      <formula>H5="WATCH"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5"/>
  <sheetViews>
    <sheetView workbookViewId="0"/>
  </sheetViews>
  <sheetFormatPr defaultRowHeight="14.25"/>
  <cols>
    <col min="1" max="1" width="31.75" customWidth="1"/>
    <col min="2" max="2" width="24.875" customWidth="1"/>
    <col min="3" max="3" width="12.75" customWidth="1"/>
    <col min="4" max="4" width="6.625" customWidth="1"/>
    <col min="5" max="5" width="12" customWidth="1"/>
    <col min="6" max="6" width="11.625" customWidth="1"/>
    <col min="7" max="7" width="8.75" customWidth="1"/>
    <col min="8" max="8" width="10.875" customWidth="1"/>
    <col min="9" max="9" width="7.625" customWidth="1"/>
    <col min="10" max="10" width="13.625" customWidth="1"/>
    <col min="11" max="11" width="22.75" customWidth="1"/>
    <col min="12" max="26" width="16" customWidth="1"/>
  </cols>
  <sheetData>
    <row r="1" spans="1:26" ht="27.95" customHeight="1">
      <c r="A1" s="13" t="s">
        <v>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  <c r="M1" s="15"/>
      <c r="N1" s="1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5">
      <c r="A3" s="16" t="s">
        <v>64</v>
      </c>
      <c r="B3" s="16" t="s">
        <v>65</v>
      </c>
      <c r="C3" s="16" t="s">
        <v>66</v>
      </c>
      <c r="D3" s="16" t="s">
        <v>67</v>
      </c>
      <c r="E3" s="16" t="s">
        <v>68</v>
      </c>
      <c r="F3" s="16" t="s">
        <v>69</v>
      </c>
      <c r="G3" s="16" t="s">
        <v>70</v>
      </c>
      <c r="H3" s="16" t="s">
        <v>71</v>
      </c>
      <c r="I3" s="16" t="s">
        <v>72</v>
      </c>
      <c r="J3" s="16" t="s">
        <v>73</v>
      </c>
      <c r="K3" s="16" t="s">
        <v>74</v>
      </c>
      <c r="L3" s="17"/>
      <c r="M3" s="17"/>
      <c r="N3" s="17"/>
    </row>
    <row r="4" spans="1:26">
      <c r="A4" t="s">
        <v>75</v>
      </c>
      <c r="B4" t="s">
        <v>76</v>
      </c>
      <c r="C4" t="s">
        <v>77</v>
      </c>
      <c r="D4" s="10">
        <v>4500</v>
      </c>
      <c r="E4">
        <v>5</v>
      </c>
      <c r="F4">
        <v>1</v>
      </c>
      <c r="G4" t="s">
        <v>78</v>
      </c>
      <c r="H4" s="4">
        <v>46023</v>
      </c>
      <c r="I4" t="s">
        <v>79</v>
      </c>
      <c r="J4">
        <f t="shared" ref="J4:J15" si="0">IF(I4="Yes",E4,0)</f>
        <v>5</v>
      </c>
      <c r="K4" t="s">
        <v>80</v>
      </c>
    </row>
    <row r="5" spans="1:26">
      <c r="A5" t="s">
        <v>81</v>
      </c>
      <c r="B5" t="s">
        <v>82</v>
      </c>
      <c r="C5" t="s">
        <v>83</v>
      </c>
      <c r="D5" s="10">
        <v>52000</v>
      </c>
      <c r="E5">
        <v>5</v>
      </c>
      <c r="F5">
        <v>2</v>
      </c>
      <c r="G5" t="s">
        <v>78</v>
      </c>
      <c r="H5" s="4">
        <v>46023</v>
      </c>
      <c r="I5" t="s">
        <v>79</v>
      </c>
      <c r="J5">
        <f t="shared" si="0"/>
        <v>5</v>
      </c>
      <c r="K5" t="s">
        <v>84</v>
      </c>
    </row>
    <row r="6" spans="1:26">
      <c r="A6" t="s">
        <v>85</v>
      </c>
      <c r="B6" t="s">
        <v>86</v>
      </c>
      <c r="C6" t="s">
        <v>77</v>
      </c>
      <c r="D6" s="10">
        <v>18000</v>
      </c>
      <c r="E6">
        <v>5</v>
      </c>
      <c r="F6">
        <v>2</v>
      </c>
      <c r="G6" t="s">
        <v>87</v>
      </c>
      <c r="H6" s="4">
        <v>46023</v>
      </c>
      <c r="I6" t="s">
        <v>79</v>
      </c>
      <c r="J6">
        <f t="shared" si="0"/>
        <v>5</v>
      </c>
      <c r="K6" t="s">
        <v>88</v>
      </c>
    </row>
    <row r="7" spans="1:26">
      <c r="A7" t="s">
        <v>89</v>
      </c>
      <c r="B7" t="s">
        <v>90</v>
      </c>
      <c r="C7" t="s">
        <v>91</v>
      </c>
      <c r="D7" s="10">
        <v>14000</v>
      </c>
      <c r="E7">
        <v>5</v>
      </c>
      <c r="F7">
        <v>1</v>
      </c>
      <c r="G7" t="s">
        <v>87</v>
      </c>
      <c r="H7" s="4">
        <v>46023</v>
      </c>
      <c r="I7" t="s">
        <v>79</v>
      </c>
      <c r="J7">
        <f t="shared" si="0"/>
        <v>5</v>
      </c>
      <c r="K7" t="s">
        <v>92</v>
      </c>
    </row>
    <row r="8" spans="1:26">
      <c r="A8" t="s">
        <v>93</v>
      </c>
      <c r="B8" t="s">
        <v>94</v>
      </c>
      <c r="C8" t="s">
        <v>95</v>
      </c>
      <c r="D8" s="10">
        <v>9000</v>
      </c>
      <c r="E8">
        <v>5</v>
      </c>
      <c r="F8">
        <v>1</v>
      </c>
      <c r="G8" t="s">
        <v>78</v>
      </c>
      <c r="H8" s="4">
        <v>46023</v>
      </c>
      <c r="I8" t="s">
        <v>79</v>
      </c>
      <c r="J8">
        <f t="shared" si="0"/>
        <v>5</v>
      </c>
      <c r="K8" t="s">
        <v>96</v>
      </c>
    </row>
    <row r="9" spans="1:26">
      <c r="A9" t="s">
        <v>97</v>
      </c>
      <c r="B9" t="s">
        <v>98</v>
      </c>
      <c r="C9" t="s">
        <v>77</v>
      </c>
      <c r="D9" s="10">
        <v>12000</v>
      </c>
      <c r="E9">
        <v>5</v>
      </c>
      <c r="F9">
        <v>1</v>
      </c>
      <c r="G9" t="s">
        <v>87</v>
      </c>
      <c r="H9" s="4">
        <v>46023</v>
      </c>
      <c r="I9" t="s">
        <v>79</v>
      </c>
      <c r="J9">
        <f t="shared" si="0"/>
        <v>5</v>
      </c>
    </row>
    <row r="10" spans="1:26">
      <c r="A10" t="s">
        <v>99</v>
      </c>
      <c r="B10" t="s">
        <v>100</v>
      </c>
      <c r="C10" t="s">
        <v>83</v>
      </c>
      <c r="D10" s="10">
        <v>47000</v>
      </c>
      <c r="E10">
        <v>6</v>
      </c>
      <c r="F10">
        <v>2</v>
      </c>
      <c r="G10" t="s">
        <v>78</v>
      </c>
      <c r="H10" s="4">
        <v>46023</v>
      </c>
      <c r="I10" t="s">
        <v>79</v>
      </c>
      <c r="J10">
        <f t="shared" si="0"/>
        <v>6</v>
      </c>
    </row>
    <row r="11" spans="1:26">
      <c r="A11" t="s">
        <v>101</v>
      </c>
      <c r="B11" t="s">
        <v>102</v>
      </c>
      <c r="C11" t="s">
        <v>95</v>
      </c>
      <c r="D11" s="10">
        <v>8000</v>
      </c>
      <c r="E11">
        <v>6</v>
      </c>
      <c r="F11">
        <v>1</v>
      </c>
      <c r="G11" t="s">
        <v>87</v>
      </c>
      <c r="H11" s="4">
        <v>46023</v>
      </c>
      <c r="I11" t="s">
        <v>79</v>
      </c>
      <c r="J11">
        <f t="shared" si="0"/>
        <v>6</v>
      </c>
    </row>
    <row r="12" spans="1:26">
      <c r="A12" t="s">
        <v>103</v>
      </c>
      <c r="B12" t="s">
        <v>104</v>
      </c>
      <c r="C12" t="s">
        <v>77</v>
      </c>
      <c r="D12" s="10">
        <v>22000</v>
      </c>
      <c r="E12">
        <v>6</v>
      </c>
      <c r="F12">
        <v>2</v>
      </c>
      <c r="G12" t="s">
        <v>87</v>
      </c>
      <c r="H12" s="4">
        <v>46023</v>
      </c>
      <c r="I12" t="s">
        <v>79</v>
      </c>
      <c r="J12">
        <f t="shared" si="0"/>
        <v>6</v>
      </c>
    </row>
    <row r="13" spans="1:26">
      <c r="A13" t="s">
        <v>105</v>
      </c>
      <c r="B13" t="s">
        <v>106</v>
      </c>
      <c r="C13" t="s">
        <v>83</v>
      </c>
      <c r="D13" s="10">
        <v>68000</v>
      </c>
      <c r="E13">
        <v>6</v>
      </c>
      <c r="F13">
        <v>4</v>
      </c>
      <c r="G13" t="s">
        <v>107</v>
      </c>
      <c r="H13" s="4">
        <v>46023</v>
      </c>
      <c r="I13" t="s">
        <v>79</v>
      </c>
      <c r="J13">
        <f t="shared" si="0"/>
        <v>6</v>
      </c>
      <c r="K13" t="s">
        <v>108</v>
      </c>
    </row>
    <row r="14" spans="1:26">
      <c r="A14" t="s">
        <v>109</v>
      </c>
      <c r="B14" t="s">
        <v>110</v>
      </c>
      <c r="C14" t="s">
        <v>95</v>
      </c>
      <c r="D14" s="10">
        <v>8200</v>
      </c>
      <c r="E14">
        <v>6</v>
      </c>
      <c r="F14">
        <v>1</v>
      </c>
      <c r="G14" t="s">
        <v>87</v>
      </c>
      <c r="H14" s="4">
        <v>46023</v>
      </c>
      <c r="I14" t="s">
        <v>79</v>
      </c>
      <c r="J14">
        <f t="shared" si="0"/>
        <v>6</v>
      </c>
    </row>
    <row r="15" spans="1:26">
      <c r="A15" t="s">
        <v>111</v>
      </c>
      <c r="B15" t="s">
        <v>112</v>
      </c>
      <c r="C15" t="s">
        <v>91</v>
      </c>
      <c r="D15" s="10">
        <v>16000</v>
      </c>
      <c r="E15">
        <v>6</v>
      </c>
      <c r="F15">
        <v>2</v>
      </c>
      <c r="G15" t="s">
        <v>87</v>
      </c>
      <c r="H15" s="4">
        <v>46023</v>
      </c>
      <c r="I15" t="s">
        <v>79</v>
      </c>
      <c r="J15">
        <f t="shared" si="0"/>
        <v>6</v>
      </c>
    </row>
  </sheetData>
  <dataValidations count="1">
    <dataValidation type="list" sqref="I4:I60" xr:uid="{00000000-0002-0000-02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"/>
  <sheetViews>
    <sheetView workbookViewId="0"/>
  </sheetViews>
  <sheetFormatPr defaultRowHeight="14.25"/>
  <cols>
    <col min="1" max="1" width="53" customWidth="1"/>
    <col min="2" max="2" width="11" customWidth="1"/>
    <col min="3" max="3" width="6.25" customWidth="1"/>
    <col min="4" max="4" width="9.75" customWidth="1"/>
    <col min="5" max="5" width="24" customWidth="1"/>
    <col min="6" max="6" width="6.5" customWidth="1"/>
    <col min="7" max="7" width="5.5" customWidth="1"/>
    <col min="8" max="8" width="6.375" customWidth="1"/>
    <col min="9" max="9" width="5.625" customWidth="1"/>
    <col min="10" max="10" width="4.75" customWidth="1"/>
    <col min="11" max="11" width="5.25" customWidth="1"/>
    <col min="12" max="12" width="5.625" customWidth="1"/>
    <col min="13" max="26" width="16" customWidth="1"/>
  </cols>
  <sheetData>
    <row r="1" spans="1:26" ht="27.95" customHeight="1">
      <c r="A1" s="13" t="s">
        <v>113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  <c r="M1" s="15"/>
      <c r="N1" s="1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5">
      <c r="A3" s="16" t="s">
        <v>114</v>
      </c>
      <c r="B3" s="16" t="s">
        <v>115</v>
      </c>
      <c r="C3" s="16" t="s">
        <v>116</v>
      </c>
      <c r="D3" s="16" t="s">
        <v>117</v>
      </c>
      <c r="E3" s="16" t="s">
        <v>118</v>
      </c>
      <c r="F3" s="16" t="s">
        <v>119</v>
      </c>
      <c r="G3" s="16" t="s">
        <v>120</v>
      </c>
      <c r="H3" s="16" t="s">
        <v>121</v>
      </c>
      <c r="I3" s="16" t="s">
        <v>122</v>
      </c>
      <c r="J3" s="16" t="s">
        <v>123</v>
      </c>
      <c r="K3" s="16" t="s">
        <v>124</v>
      </c>
      <c r="L3" s="16" t="s">
        <v>125</v>
      </c>
      <c r="M3" s="17"/>
      <c r="N3" s="17"/>
    </row>
    <row r="4" spans="1:26">
      <c r="A4" t="s">
        <v>126</v>
      </c>
      <c r="B4" t="s">
        <v>127</v>
      </c>
      <c r="C4" t="s">
        <v>128</v>
      </c>
      <c r="D4" s="5">
        <v>17.5</v>
      </c>
      <c r="E4" t="s">
        <v>129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</row>
    <row r="5" spans="1:26">
      <c r="A5" t="s">
        <v>130</v>
      </c>
      <c r="B5" t="s">
        <v>131</v>
      </c>
      <c r="C5" t="s">
        <v>128</v>
      </c>
      <c r="D5" s="5">
        <v>17.25</v>
      </c>
      <c r="E5" t="s">
        <v>132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</row>
    <row r="6" spans="1:26">
      <c r="A6" t="s">
        <v>133</v>
      </c>
      <c r="B6" t="s">
        <v>134</v>
      </c>
      <c r="C6" t="s">
        <v>128</v>
      </c>
      <c r="D6" s="5">
        <v>17.25</v>
      </c>
      <c r="E6" t="s">
        <v>135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26">
      <c r="A7" t="s">
        <v>136</v>
      </c>
      <c r="B7" t="s">
        <v>137</v>
      </c>
      <c r="C7" t="s">
        <v>128</v>
      </c>
      <c r="D7" s="5">
        <v>17.75</v>
      </c>
      <c r="E7" t="s">
        <v>138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</row>
    <row r="8" spans="1:26">
      <c r="A8" t="s">
        <v>139</v>
      </c>
      <c r="B8" t="s">
        <v>140</v>
      </c>
      <c r="C8" t="s">
        <v>128</v>
      </c>
      <c r="D8" s="5">
        <v>17.25</v>
      </c>
      <c r="E8" t="s">
        <v>141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0</v>
      </c>
    </row>
    <row r="9" spans="1:26">
      <c r="A9" t="s">
        <v>142</v>
      </c>
      <c r="B9" t="s">
        <v>143</v>
      </c>
      <c r="C9" t="s">
        <v>128</v>
      </c>
      <c r="D9" s="5">
        <v>17.5</v>
      </c>
      <c r="E9" t="s">
        <v>144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</row>
    <row r="10" spans="1:26">
      <c r="A10" t="s">
        <v>145</v>
      </c>
      <c r="B10" t="s">
        <v>146</v>
      </c>
      <c r="C10" t="s">
        <v>128</v>
      </c>
      <c r="D10" s="5">
        <v>17.25</v>
      </c>
      <c r="E10" t="s">
        <v>147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26">
      <c r="A11" t="s">
        <v>148</v>
      </c>
      <c r="B11" t="s">
        <v>149</v>
      </c>
      <c r="C11" t="s">
        <v>128</v>
      </c>
      <c r="D11" s="5">
        <v>17.25</v>
      </c>
      <c r="E11" t="s">
        <v>150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</row>
    <row r="12" spans="1:26">
      <c r="A12" t="s">
        <v>151</v>
      </c>
      <c r="B12" t="s">
        <v>152</v>
      </c>
      <c r="C12" t="s">
        <v>128</v>
      </c>
      <c r="D12" s="5">
        <v>17.25</v>
      </c>
      <c r="E12" t="s">
        <v>153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</row>
    <row r="13" spans="1:26">
      <c r="A13" t="s">
        <v>154</v>
      </c>
      <c r="B13" t="s">
        <v>155</v>
      </c>
      <c r="C13" t="s">
        <v>128</v>
      </c>
      <c r="D13" s="5">
        <v>17.5</v>
      </c>
      <c r="E13" t="s">
        <v>156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1</v>
      </c>
    </row>
    <row r="14" spans="1:26">
      <c r="A14" t="s">
        <v>157</v>
      </c>
      <c r="B14" t="s">
        <v>158</v>
      </c>
      <c r="C14" t="s">
        <v>159</v>
      </c>
      <c r="D14" s="5">
        <v>19.25</v>
      </c>
      <c r="E14" t="s">
        <v>160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</row>
    <row r="15" spans="1:26">
      <c r="A15" t="s">
        <v>161</v>
      </c>
      <c r="B15" t="s">
        <v>162</v>
      </c>
      <c r="C15" t="s">
        <v>159</v>
      </c>
      <c r="D15" s="5">
        <v>19.25</v>
      </c>
      <c r="E15" t="s">
        <v>163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</sheetData>
  <dataValidations count="1">
    <dataValidation type="list" sqref="F4:L60" xr:uid="{00000000-0002-0000-0300-000000000000}">
      <formula1>"1,0"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3"/>
  <sheetViews>
    <sheetView workbookViewId="0"/>
  </sheetViews>
  <sheetFormatPr defaultRowHeight="14.25"/>
  <cols>
    <col min="1" max="1" width="34" customWidth="1"/>
    <col min="2" max="2" width="19.75" customWidth="1"/>
    <col min="3" max="3" width="10" customWidth="1"/>
    <col min="4" max="4" width="6.25" customWidth="1"/>
    <col min="5" max="5" width="16.25" customWidth="1"/>
    <col min="6" max="7" width="17.125" customWidth="1"/>
    <col min="8" max="8" width="14.375" customWidth="1"/>
    <col min="9" max="9" width="16.75" customWidth="1"/>
    <col min="10" max="10" width="28.25" customWidth="1"/>
    <col min="11" max="26" width="16" customWidth="1"/>
  </cols>
  <sheetData>
    <row r="1" spans="1:26" ht="27.95" customHeight="1">
      <c r="A1" s="13" t="s">
        <v>164</v>
      </c>
      <c r="B1" s="14"/>
      <c r="C1" s="14"/>
      <c r="D1" s="14"/>
      <c r="E1" s="14"/>
      <c r="F1" s="14"/>
      <c r="G1" s="14"/>
      <c r="H1" s="14"/>
      <c r="I1" s="14"/>
      <c r="J1" s="14"/>
      <c r="K1" s="15"/>
      <c r="L1" s="15"/>
      <c r="M1" s="15"/>
      <c r="N1" s="1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0">
      <c r="A3" s="16" t="s">
        <v>165</v>
      </c>
      <c r="B3" s="16" t="s">
        <v>33</v>
      </c>
      <c r="C3" s="16" t="s">
        <v>166</v>
      </c>
      <c r="D3" s="16" t="s">
        <v>167</v>
      </c>
      <c r="E3" s="16" t="s">
        <v>168</v>
      </c>
      <c r="F3" s="16" t="s">
        <v>169</v>
      </c>
      <c r="G3" s="16" t="s">
        <v>170</v>
      </c>
      <c r="H3" s="16" t="s">
        <v>171</v>
      </c>
      <c r="I3" s="16" t="s">
        <v>172</v>
      </c>
      <c r="J3" s="16" t="s">
        <v>74</v>
      </c>
      <c r="K3" s="17"/>
      <c r="L3" s="17"/>
      <c r="M3" s="17"/>
      <c r="N3" s="17"/>
    </row>
    <row r="4" spans="1:26">
      <c r="A4" t="s">
        <v>173</v>
      </c>
      <c r="B4" t="s">
        <v>174</v>
      </c>
      <c r="C4" t="s">
        <v>175</v>
      </c>
      <c r="D4" t="s">
        <v>176</v>
      </c>
      <c r="E4" s="6">
        <v>0.18</v>
      </c>
      <c r="F4" s="6">
        <v>1.5E-5</v>
      </c>
      <c r="G4" s="6">
        <v>0.05</v>
      </c>
      <c r="H4" s="6">
        <v>0.25</v>
      </c>
      <c r="I4" t="s">
        <v>177</v>
      </c>
      <c r="J4" t="s">
        <v>178</v>
      </c>
    </row>
    <row r="5" spans="1:26">
      <c r="A5" t="s">
        <v>179</v>
      </c>
      <c r="B5" t="s">
        <v>180</v>
      </c>
      <c r="C5" t="s">
        <v>175</v>
      </c>
      <c r="D5" t="s">
        <v>181</v>
      </c>
      <c r="E5" s="6">
        <v>0.45</v>
      </c>
      <c r="F5" s="6">
        <v>5.0000000000000004E-6</v>
      </c>
      <c r="G5" s="6">
        <v>0.1</v>
      </c>
      <c r="H5" s="6">
        <v>0.3</v>
      </c>
      <c r="I5" t="s">
        <v>182</v>
      </c>
      <c r="J5" t="s">
        <v>183</v>
      </c>
    </row>
    <row r="6" spans="1:26">
      <c r="A6" t="s">
        <v>184</v>
      </c>
      <c r="B6" t="s">
        <v>185</v>
      </c>
      <c r="C6" t="s">
        <v>186</v>
      </c>
      <c r="D6" t="s">
        <v>187</v>
      </c>
      <c r="E6" s="6">
        <v>0.12</v>
      </c>
      <c r="F6" s="6">
        <v>2.0000000000000002E-5</v>
      </c>
      <c r="G6" s="6">
        <v>0.04</v>
      </c>
      <c r="H6" s="6">
        <v>0.35</v>
      </c>
      <c r="I6" t="s">
        <v>188</v>
      </c>
      <c r="J6" t="s">
        <v>189</v>
      </c>
    </row>
    <row r="7" spans="1:26">
      <c r="A7" t="s">
        <v>190</v>
      </c>
      <c r="B7" t="s">
        <v>191</v>
      </c>
      <c r="C7" t="s">
        <v>186</v>
      </c>
      <c r="D7" t="s">
        <v>187</v>
      </c>
      <c r="E7" s="6">
        <v>0.08</v>
      </c>
      <c r="F7" s="6">
        <v>1.0000000000000001E-5</v>
      </c>
      <c r="G7" s="6">
        <v>0.03</v>
      </c>
      <c r="H7" s="6">
        <v>0.2</v>
      </c>
      <c r="I7" t="s">
        <v>177</v>
      </c>
      <c r="J7" t="s">
        <v>192</v>
      </c>
    </row>
    <row r="8" spans="1:26">
      <c r="A8" t="s">
        <v>193</v>
      </c>
      <c r="B8" t="s">
        <v>194</v>
      </c>
      <c r="C8" t="s">
        <v>195</v>
      </c>
      <c r="D8" t="s">
        <v>176</v>
      </c>
      <c r="E8" s="6">
        <v>0.2</v>
      </c>
      <c r="F8" s="6">
        <v>2.0000000000000002E-5</v>
      </c>
      <c r="G8" s="6">
        <v>0.04</v>
      </c>
      <c r="H8" s="6">
        <v>0.3</v>
      </c>
      <c r="I8" t="s">
        <v>182</v>
      </c>
      <c r="J8" t="s">
        <v>196</v>
      </c>
    </row>
    <row r="9" spans="1:26">
      <c r="A9" t="s">
        <v>197</v>
      </c>
      <c r="B9" t="s">
        <v>198</v>
      </c>
      <c r="C9" t="s">
        <v>195</v>
      </c>
      <c r="D9" t="s">
        <v>176</v>
      </c>
      <c r="E9" s="6">
        <v>0.16</v>
      </c>
      <c r="F9" s="6">
        <v>1.8E-5</v>
      </c>
      <c r="G9" s="6">
        <v>0.04</v>
      </c>
      <c r="H9" s="6">
        <v>0.3</v>
      </c>
      <c r="I9" t="s">
        <v>182</v>
      </c>
      <c r="J9" t="s">
        <v>196</v>
      </c>
    </row>
    <row r="10" spans="1:26">
      <c r="A10" t="s">
        <v>199</v>
      </c>
      <c r="B10" t="s">
        <v>200</v>
      </c>
      <c r="C10" t="s">
        <v>201</v>
      </c>
      <c r="D10" t="s">
        <v>202</v>
      </c>
      <c r="E10" s="6">
        <v>0.06</v>
      </c>
      <c r="F10" s="6">
        <v>6.0000000000000002E-6</v>
      </c>
      <c r="G10" s="6">
        <v>0.05</v>
      </c>
      <c r="H10" s="6">
        <v>0.2</v>
      </c>
      <c r="I10" t="s">
        <v>177</v>
      </c>
      <c r="J10" t="s">
        <v>203</v>
      </c>
    </row>
    <row r="11" spans="1:26">
      <c r="A11" t="s">
        <v>204</v>
      </c>
      <c r="B11" t="s">
        <v>205</v>
      </c>
      <c r="C11" t="s">
        <v>201</v>
      </c>
      <c r="D11" t="s">
        <v>206</v>
      </c>
      <c r="E11" s="6">
        <v>0.04</v>
      </c>
      <c r="F11" s="6">
        <v>3.9999999999999998E-6</v>
      </c>
      <c r="G11" s="6">
        <v>0.02</v>
      </c>
      <c r="H11" s="6">
        <v>0.2</v>
      </c>
      <c r="I11" t="s">
        <v>188</v>
      </c>
      <c r="J11" t="s">
        <v>207</v>
      </c>
    </row>
    <row r="12" spans="1:26">
      <c r="A12" t="s">
        <v>208</v>
      </c>
      <c r="B12" t="s">
        <v>209</v>
      </c>
      <c r="C12" t="s">
        <v>186</v>
      </c>
      <c r="D12" t="s">
        <v>187</v>
      </c>
      <c r="E12" s="6">
        <v>0.1</v>
      </c>
      <c r="F12" s="6">
        <v>1.8E-5</v>
      </c>
      <c r="G12" s="6">
        <v>0.04</v>
      </c>
      <c r="H12" s="6">
        <v>0.25</v>
      </c>
      <c r="I12" t="s">
        <v>188</v>
      </c>
      <c r="J12" t="s">
        <v>210</v>
      </c>
    </row>
    <row r="13" spans="1:26">
      <c r="A13" t="s">
        <v>211</v>
      </c>
      <c r="B13" t="s">
        <v>212</v>
      </c>
      <c r="C13" t="s">
        <v>195</v>
      </c>
      <c r="D13" t="s">
        <v>176</v>
      </c>
      <c r="E13" s="6">
        <v>0.1</v>
      </c>
      <c r="F13" s="6">
        <v>1.2E-5</v>
      </c>
      <c r="G13" s="6">
        <v>0.03</v>
      </c>
      <c r="H13" s="6">
        <v>0.25</v>
      </c>
      <c r="I13" t="s">
        <v>182</v>
      </c>
      <c r="J13" t="s">
        <v>213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3"/>
  <sheetViews>
    <sheetView workbookViewId="0"/>
  </sheetViews>
  <sheetFormatPr defaultRowHeight="14.25"/>
  <cols>
    <col min="1" max="1" width="18.125" customWidth="1"/>
    <col min="2" max="2" width="19.75" customWidth="1"/>
    <col min="3" max="3" width="10" customWidth="1"/>
    <col min="4" max="4" width="6.25" customWidth="1"/>
    <col min="5" max="5" width="13.75" customWidth="1"/>
    <col min="6" max="6" width="10.75" customWidth="1"/>
    <col min="7" max="7" width="11" customWidth="1"/>
    <col min="8" max="8" width="16" customWidth="1"/>
    <col min="9" max="9" width="13.875" customWidth="1"/>
    <col min="10" max="10" width="19.5" customWidth="1"/>
    <col min="11" max="11" width="7.625" customWidth="1"/>
    <col min="12" max="12" width="15.5" customWidth="1"/>
    <col min="13" max="13" width="15.25" customWidth="1"/>
    <col min="14" max="14" width="9.875" customWidth="1"/>
    <col min="15" max="26" width="16" customWidth="1"/>
  </cols>
  <sheetData>
    <row r="1" spans="1:26" ht="27.95" customHeight="1">
      <c r="A1" s="13" t="s">
        <v>214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0">
      <c r="A3" s="16" t="s">
        <v>165</v>
      </c>
      <c r="B3" s="16" t="s">
        <v>33</v>
      </c>
      <c r="C3" s="16" t="s">
        <v>166</v>
      </c>
      <c r="D3" s="16" t="s">
        <v>167</v>
      </c>
      <c r="E3" s="16" t="s">
        <v>215</v>
      </c>
      <c r="F3" s="16" t="s">
        <v>216</v>
      </c>
      <c r="G3" s="16" t="s">
        <v>217</v>
      </c>
      <c r="H3" s="16" t="s">
        <v>218</v>
      </c>
      <c r="I3" s="16" t="s">
        <v>35</v>
      </c>
      <c r="J3" s="16" t="s">
        <v>219</v>
      </c>
      <c r="K3" s="16" t="s">
        <v>39</v>
      </c>
      <c r="L3" s="16" t="s">
        <v>220</v>
      </c>
      <c r="M3" s="16" t="s">
        <v>6</v>
      </c>
      <c r="N3" s="17" t="s">
        <v>221</v>
      </c>
    </row>
    <row r="4" spans="1:26">
      <c r="A4" t="s">
        <v>173</v>
      </c>
      <c r="B4" t="s">
        <v>174</v>
      </c>
      <c r="C4" t="s">
        <v>175</v>
      </c>
      <c r="D4" t="s">
        <v>176</v>
      </c>
      <c r="E4" s="7">
        <v>28</v>
      </c>
      <c r="F4" s="7">
        <v>22</v>
      </c>
      <c r="G4" s="7">
        <v>66</v>
      </c>
      <c r="H4" s="7">
        <f>IFERROR(SUMIFS('Supply Forecast'!$J$4:$J$123,'Supply Forecast'!$B$4:$B$123,A4),0)</f>
        <v>45.9</v>
      </c>
      <c r="I4" s="7">
        <f t="shared" ref="I4:I13" si="0">ROUNDUP(F4+(H4*1.5),0)</f>
        <v>91</v>
      </c>
      <c r="J4" s="7">
        <f t="shared" ref="J4:J13" si="1">MAX(0,ROUNDUP(G4-E4,0))</f>
        <v>38</v>
      </c>
      <c r="K4" t="str">
        <f t="shared" ref="K4:K13" si="2">IF(E4&lt;=I4,"ORDER",IF(E4&lt;=F4,"WATCH","OK"))</f>
        <v>ORDER</v>
      </c>
      <c r="L4" s="4">
        <v>46147</v>
      </c>
      <c r="N4">
        <f>IF(K4&lt;&gt;"OK",COUNTIF($K$4:K4,"&lt;&gt;OK"),"")</f>
        <v>1</v>
      </c>
    </row>
    <row r="5" spans="1:26">
      <c r="A5" t="s">
        <v>179</v>
      </c>
      <c r="B5" t="s">
        <v>180</v>
      </c>
      <c r="C5" t="s">
        <v>175</v>
      </c>
      <c r="D5" t="s">
        <v>181</v>
      </c>
      <c r="E5" s="7">
        <v>45</v>
      </c>
      <c r="F5" s="7">
        <v>40</v>
      </c>
      <c r="G5" s="7">
        <v>120</v>
      </c>
      <c r="H5" s="7">
        <f>IFERROR(SUMIFS('Supply Forecast'!$J$4:$J$123,'Supply Forecast'!$B$4:$B$123,A5),0)</f>
        <v>60.800000000000004</v>
      </c>
      <c r="I5" s="7">
        <f t="shared" si="0"/>
        <v>132</v>
      </c>
      <c r="J5" s="7">
        <f t="shared" si="1"/>
        <v>75</v>
      </c>
      <c r="K5" t="str">
        <f t="shared" si="2"/>
        <v>ORDER</v>
      </c>
      <c r="L5" s="4">
        <v>46147</v>
      </c>
      <c r="N5">
        <f>IF(K5&lt;&gt;"OK",COUNTIF($K$4:K5,"&lt;&gt;OK"),"")</f>
        <v>2</v>
      </c>
    </row>
    <row r="6" spans="1:26">
      <c r="A6" t="s">
        <v>184</v>
      </c>
      <c r="B6" t="s">
        <v>185</v>
      </c>
      <c r="C6" t="s">
        <v>186</v>
      </c>
      <c r="D6" t="s">
        <v>187</v>
      </c>
      <c r="E6" s="7">
        <v>14</v>
      </c>
      <c r="F6" s="7">
        <v>12</v>
      </c>
      <c r="G6" s="7">
        <v>36</v>
      </c>
      <c r="H6" s="7">
        <f>IFERROR(SUMIFS('Supply Forecast'!$J$4:$J$123,'Supply Forecast'!$B$4:$B$123,A6),0)</f>
        <v>47.3</v>
      </c>
      <c r="I6" s="7">
        <f t="shared" si="0"/>
        <v>83</v>
      </c>
      <c r="J6" s="7">
        <f t="shared" si="1"/>
        <v>22</v>
      </c>
      <c r="K6" t="str">
        <f t="shared" si="2"/>
        <v>ORDER</v>
      </c>
      <c r="L6" s="4">
        <v>46147</v>
      </c>
      <c r="N6">
        <f>IF(K6&lt;&gt;"OK",COUNTIF($K$4:K6,"&lt;&gt;OK"),"")</f>
        <v>3</v>
      </c>
    </row>
    <row r="7" spans="1:26">
      <c r="A7" t="s">
        <v>190</v>
      </c>
      <c r="B7" t="s">
        <v>191</v>
      </c>
      <c r="C7" t="s">
        <v>186</v>
      </c>
      <c r="D7" t="s">
        <v>187</v>
      </c>
      <c r="E7" s="7">
        <v>12</v>
      </c>
      <c r="F7" s="7">
        <v>8</v>
      </c>
      <c r="G7" s="7">
        <v>24</v>
      </c>
      <c r="H7" s="7">
        <f>IFERROR(SUMIFS('Supply Forecast'!$J$4:$J$123,'Supply Forecast'!$B$4:$B$123,A7),0)</f>
        <v>26.7</v>
      </c>
      <c r="I7" s="7">
        <f t="shared" si="0"/>
        <v>49</v>
      </c>
      <c r="J7" s="7">
        <f t="shared" si="1"/>
        <v>12</v>
      </c>
      <c r="K7" t="str">
        <f t="shared" si="2"/>
        <v>ORDER</v>
      </c>
      <c r="L7" s="4">
        <v>46147</v>
      </c>
      <c r="N7">
        <f>IF(K7&lt;&gt;"OK",COUNTIF($K$4:K7,"&lt;&gt;OK"),"")</f>
        <v>4</v>
      </c>
    </row>
    <row r="8" spans="1:26">
      <c r="A8" t="s">
        <v>193</v>
      </c>
      <c r="B8" t="s">
        <v>194</v>
      </c>
      <c r="C8" t="s">
        <v>195</v>
      </c>
      <c r="D8" t="s">
        <v>176</v>
      </c>
      <c r="E8" s="7">
        <v>18</v>
      </c>
      <c r="F8" s="7">
        <v>14</v>
      </c>
      <c r="G8" s="7">
        <v>42</v>
      </c>
      <c r="H8" s="7">
        <f>IFERROR(SUMIFS('Supply Forecast'!$J$4:$J$123,'Supply Forecast'!$B$4:$B$123,A8),0)</f>
        <v>54.5</v>
      </c>
      <c r="I8" s="7">
        <f t="shared" si="0"/>
        <v>96</v>
      </c>
      <c r="J8" s="7">
        <f t="shared" si="1"/>
        <v>24</v>
      </c>
      <c r="K8" t="str">
        <f t="shared" si="2"/>
        <v>ORDER</v>
      </c>
      <c r="L8" s="4">
        <v>46147</v>
      </c>
      <c r="N8">
        <f>IF(K8&lt;&gt;"OK",COUNTIF($K$4:K8,"&lt;&gt;OK"),"")</f>
        <v>5</v>
      </c>
    </row>
    <row r="9" spans="1:26">
      <c r="A9" t="s">
        <v>197</v>
      </c>
      <c r="B9" t="s">
        <v>198</v>
      </c>
      <c r="C9" t="s">
        <v>195</v>
      </c>
      <c r="D9" t="s">
        <v>176</v>
      </c>
      <c r="E9" s="7">
        <v>16</v>
      </c>
      <c r="F9" s="7">
        <v>12</v>
      </c>
      <c r="G9" s="7">
        <v>36</v>
      </c>
      <c r="H9" s="7">
        <f>IFERROR(SUMIFS('Supply Forecast'!$J$4:$J$123,'Supply Forecast'!$B$4:$B$123,A9),0)</f>
        <v>47.899999999999991</v>
      </c>
      <c r="I9" s="7">
        <f t="shared" si="0"/>
        <v>84</v>
      </c>
      <c r="J9" s="7">
        <f t="shared" si="1"/>
        <v>20</v>
      </c>
      <c r="K9" t="str">
        <f t="shared" si="2"/>
        <v>ORDER</v>
      </c>
      <c r="L9" s="4">
        <v>46147</v>
      </c>
      <c r="N9">
        <f>IF(K9&lt;&gt;"OK",COUNTIF($K$4:K9,"&lt;&gt;OK"),"")</f>
        <v>6</v>
      </c>
    </row>
    <row r="10" spans="1:26">
      <c r="A10" t="s">
        <v>199</v>
      </c>
      <c r="B10" t="s">
        <v>200</v>
      </c>
      <c r="C10" t="s">
        <v>201</v>
      </c>
      <c r="D10" t="s">
        <v>202</v>
      </c>
      <c r="E10" s="7">
        <v>20</v>
      </c>
      <c r="F10" s="7">
        <v>10</v>
      </c>
      <c r="G10" s="7">
        <v>30</v>
      </c>
      <c r="H10" s="7">
        <f>IFERROR(SUMIFS('Supply Forecast'!$J$4:$J$123,'Supply Forecast'!$B$4:$B$123,A10),0)</f>
        <v>21.1</v>
      </c>
      <c r="I10" s="7">
        <f t="shared" si="0"/>
        <v>42</v>
      </c>
      <c r="J10" s="7">
        <f t="shared" si="1"/>
        <v>10</v>
      </c>
      <c r="K10" t="str">
        <f t="shared" si="2"/>
        <v>ORDER</v>
      </c>
      <c r="L10" s="4">
        <v>46147</v>
      </c>
      <c r="N10">
        <f>IF(K10&lt;&gt;"OK",COUNTIF($K$4:K10,"&lt;&gt;OK"),"")</f>
        <v>7</v>
      </c>
    </row>
    <row r="11" spans="1:26">
      <c r="A11" t="s">
        <v>204</v>
      </c>
      <c r="B11" t="s">
        <v>205</v>
      </c>
      <c r="C11" t="s">
        <v>201</v>
      </c>
      <c r="D11" t="s">
        <v>206</v>
      </c>
      <c r="E11" s="7">
        <v>13</v>
      </c>
      <c r="F11" s="7">
        <v>8</v>
      </c>
      <c r="G11" s="7">
        <v>24</v>
      </c>
      <c r="H11" s="7">
        <f>IFERROR(SUMIFS('Supply Forecast'!$J$4:$J$123,'Supply Forecast'!$B$4:$B$123,A11),0)</f>
        <v>12.8</v>
      </c>
      <c r="I11" s="7">
        <f t="shared" si="0"/>
        <v>28</v>
      </c>
      <c r="J11" s="7">
        <f t="shared" si="1"/>
        <v>11</v>
      </c>
      <c r="K11" t="str">
        <f t="shared" si="2"/>
        <v>ORDER</v>
      </c>
      <c r="L11" s="4">
        <v>46147</v>
      </c>
      <c r="N11">
        <f>IF(K11&lt;&gt;"OK",COUNTIF($K$4:K11,"&lt;&gt;OK"),"")</f>
        <v>8</v>
      </c>
    </row>
    <row r="12" spans="1:26">
      <c r="A12" t="s">
        <v>208</v>
      </c>
      <c r="B12" t="s">
        <v>209</v>
      </c>
      <c r="C12" t="s">
        <v>186</v>
      </c>
      <c r="D12" t="s">
        <v>187</v>
      </c>
      <c r="E12" s="7">
        <v>10</v>
      </c>
      <c r="F12" s="7">
        <v>10</v>
      </c>
      <c r="G12" s="7">
        <v>30</v>
      </c>
      <c r="H12" s="7">
        <f>IFERROR(SUMIFS('Supply Forecast'!$J$4:$J$123,'Supply Forecast'!$B$4:$B$123,A12),0)</f>
        <v>42.500000000000007</v>
      </c>
      <c r="I12" s="7">
        <f t="shared" si="0"/>
        <v>74</v>
      </c>
      <c r="J12" s="7">
        <f t="shared" si="1"/>
        <v>20</v>
      </c>
      <c r="K12" t="str">
        <f t="shared" si="2"/>
        <v>ORDER</v>
      </c>
      <c r="L12" s="4">
        <v>46147</v>
      </c>
      <c r="N12">
        <f>IF(K12&lt;&gt;"OK",COUNTIF($K$4:K12,"&lt;&gt;OK"),"")</f>
        <v>9</v>
      </c>
    </row>
    <row r="13" spans="1:26">
      <c r="A13" t="s">
        <v>211</v>
      </c>
      <c r="B13" t="s">
        <v>212</v>
      </c>
      <c r="C13" t="s">
        <v>195</v>
      </c>
      <c r="D13" t="s">
        <v>176</v>
      </c>
      <c r="E13" s="7">
        <v>11</v>
      </c>
      <c r="F13" s="7">
        <v>8</v>
      </c>
      <c r="G13" s="7">
        <v>24</v>
      </c>
      <c r="H13" s="7">
        <f>IFERROR(SUMIFS('Supply Forecast'!$J$4:$J$123,'Supply Forecast'!$B$4:$B$123,A13),0)</f>
        <v>31.900000000000002</v>
      </c>
      <c r="I13" s="7">
        <f t="shared" si="0"/>
        <v>56</v>
      </c>
      <c r="J13" s="7">
        <f t="shared" si="1"/>
        <v>13</v>
      </c>
      <c r="K13" t="str">
        <f t="shared" si="2"/>
        <v>ORDER</v>
      </c>
      <c r="L13" s="4">
        <v>46147</v>
      </c>
      <c r="N13">
        <f>IF(K13&lt;&gt;"OK",COUNTIF($K$4:K13,"&lt;&gt;OK"),"")</f>
        <v>10</v>
      </c>
    </row>
  </sheetData>
  <conditionalFormatting sqref="K4:K13">
    <cfRule type="expression" dxfId="11" priority="4">
      <formula>K4="ORDER"</formula>
    </cfRule>
    <cfRule type="expression" dxfId="10" priority="5">
      <formula>K4="WATCH"</formula>
    </cfRule>
    <cfRule type="expression" dxfId="9" priority="6">
      <formula>K4="OK"</formula>
    </cfRule>
  </conditionalFormatting>
  <conditionalFormatting sqref="K4:K60">
    <cfRule type="expression" dxfId="8" priority="1">
      <formula>K4="ORDER"</formula>
    </cfRule>
    <cfRule type="expression" dxfId="7" priority="2">
      <formula>K4="WATCH"</formula>
    </cfRule>
    <cfRule type="expression" dxfId="6" priority="3">
      <formula>K4="OK"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9"/>
  <sheetViews>
    <sheetView workbookViewId="0"/>
  </sheetViews>
  <sheetFormatPr defaultRowHeight="14.25"/>
  <cols>
    <col min="1" max="1" width="18.25" customWidth="1"/>
    <col min="2" max="2" width="8.625" customWidth="1"/>
    <col min="3" max="3" width="19.75" customWidth="1"/>
    <col min="4" max="4" width="10.125" customWidth="1"/>
    <col min="5" max="5" width="15.375" customWidth="1"/>
    <col min="6" max="6" width="14.75" customWidth="1"/>
    <col min="7" max="7" width="14.25" customWidth="1"/>
    <col min="8" max="8" width="11.125" customWidth="1"/>
    <col min="9" max="9" width="15.5" customWidth="1"/>
    <col min="10" max="10" width="15.875" customWidth="1"/>
    <col min="11" max="26" width="16" customWidth="1"/>
  </cols>
  <sheetData>
    <row r="1" spans="1:26" ht="27.95" customHeight="1">
      <c r="A1" s="13" t="s">
        <v>222</v>
      </c>
      <c r="B1" s="14"/>
      <c r="C1" s="14"/>
      <c r="D1" s="14"/>
      <c r="E1" s="14"/>
      <c r="F1" s="14"/>
      <c r="G1" s="14"/>
      <c r="H1" s="14"/>
      <c r="I1" s="14"/>
      <c r="J1" s="14"/>
      <c r="K1" s="15"/>
      <c r="L1" s="15"/>
      <c r="M1" s="15"/>
      <c r="N1" s="1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5">
      <c r="A3" s="16" t="s">
        <v>40</v>
      </c>
      <c r="B3" s="16" t="s">
        <v>165</v>
      </c>
      <c r="C3" s="16" t="s">
        <v>33</v>
      </c>
      <c r="D3" s="16" t="s">
        <v>223</v>
      </c>
      <c r="E3" s="16" t="s">
        <v>224</v>
      </c>
      <c r="F3" s="16" t="s">
        <v>225</v>
      </c>
      <c r="G3" s="16" t="s">
        <v>226</v>
      </c>
      <c r="H3" s="16" t="s">
        <v>227</v>
      </c>
      <c r="I3" s="16" t="s">
        <v>228</v>
      </c>
      <c r="J3" s="16" t="s">
        <v>229</v>
      </c>
      <c r="K3" s="17" t="s">
        <v>230</v>
      </c>
      <c r="L3" s="17" t="s">
        <v>231</v>
      </c>
      <c r="M3" s="17" t="s">
        <v>232</v>
      </c>
      <c r="N3" s="17" t="s">
        <v>233</v>
      </c>
    </row>
    <row r="4" spans="1:26">
      <c r="A4" t="s">
        <v>177</v>
      </c>
      <c r="B4" t="s">
        <v>173</v>
      </c>
      <c r="C4" t="s">
        <v>174</v>
      </c>
      <c r="D4" s="18">
        <v>52</v>
      </c>
      <c r="E4" s="7">
        <v>3</v>
      </c>
      <c r="F4" s="7">
        <v>9</v>
      </c>
      <c r="G4" s="7">
        <f t="shared" ref="G4:G29" si="0">MAX(1,11-E4)</f>
        <v>8</v>
      </c>
      <c r="H4" s="7">
        <f ca="1">IFERROR(10*_xludf.AGGREGATE(15,6,$D$4:$D$29/($B$4:$B$29=B4),1)/D4,0)</f>
        <v>0</v>
      </c>
      <c r="I4" s="7">
        <f t="shared" ref="I4:I29" ca="1" si="1">ROUND((H4*0.4)+(G4*0.3)+(F4*0.3),2)</f>
        <v>5.0999999999999996</v>
      </c>
      <c r="J4" t="e">
        <f ca="1">IF(I4=_xludf.AGGREGATE(14,6,$I$4:$I$29/($B$4:$B$29=B4),1),"Preferred","Alt")</f>
        <v>#NAME?</v>
      </c>
      <c r="K4" t="e">
        <f t="shared" ref="K4:K29" ca="1" si="2">B4&amp;"|"&amp;J4</f>
        <v>#NAME?</v>
      </c>
      <c r="L4" t="str">
        <f t="shared" ref="L4:L29" si="3">A4</f>
        <v>CleanCo Supply</v>
      </c>
      <c r="M4">
        <f t="shared" ref="M4:M29" si="4">D4</f>
        <v>52</v>
      </c>
      <c r="N4">
        <f t="shared" ref="N4:N29" si="5">E4</f>
        <v>3</v>
      </c>
    </row>
    <row r="5" spans="1:26">
      <c r="A5" t="s">
        <v>182</v>
      </c>
      <c r="B5" t="s">
        <v>173</v>
      </c>
      <c r="C5" t="s">
        <v>174</v>
      </c>
      <c r="D5" s="18">
        <v>49</v>
      </c>
      <c r="E5" s="7">
        <v>6</v>
      </c>
      <c r="F5" s="7">
        <v>7</v>
      </c>
      <c r="G5" s="7">
        <f t="shared" si="0"/>
        <v>5</v>
      </c>
      <c r="H5" s="7">
        <f ca="1">IFERROR(10*_xludf.AGGREGATE(15,6,$D$4:$D$29/($B$4:$B$29=B5),1)/D5,0)</f>
        <v>0</v>
      </c>
      <c r="I5" s="7">
        <f t="shared" ca="1" si="1"/>
        <v>3.6</v>
      </c>
      <c r="J5" t="e">
        <f ca="1">IF(I5=_xludf.AGGREGATE(14,6,$I$4:$I$29/($B$4:$B$29=B5),1),"Preferred","Alt")</f>
        <v>#NAME?</v>
      </c>
      <c r="K5" t="e">
        <f t="shared" ca="1" si="2"/>
        <v>#NAME?</v>
      </c>
      <c r="L5" t="str">
        <f t="shared" si="3"/>
        <v>Facility Depot</v>
      </c>
      <c r="M5">
        <f t="shared" si="4"/>
        <v>49</v>
      </c>
      <c r="N5">
        <f t="shared" si="5"/>
        <v>6</v>
      </c>
    </row>
    <row r="6" spans="1:26">
      <c r="A6" t="s">
        <v>188</v>
      </c>
      <c r="B6" t="s">
        <v>173</v>
      </c>
      <c r="C6" t="s">
        <v>174</v>
      </c>
      <c r="D6" s="18">
        <v>55</v>
      </c>
      <c r="E6" s="7">
        <v>2</v>
      </c>
      <c r="F6" s="7">
        <v>8</v>
      </c>
      <c r="G6" s="7">
        <f t="shared" si="0"/>
        <v>9</v>
      </c>
      <c r="H6" s="7">
        <f ca="1">IFERROR(10*_xludf.AGGREGATE(15,6,$D$4:$D$29/($B$4:$B$29=B6),1)/D6,0)</f>
        <v>0</v>
      </c>
      <c r="I6" s="7">
        <f t="shared" ca="1" si="1"/>
        <v>5.0999999999999996</v>
      </c>
      <c r="J6" t="e">
        <f ca="1">IF(I6=_xludf.AGGREGATE(14,6,$I$4:$I$29/($B$4:$B$29=B6),1),"Preferred","Alt")</f>
        <v>#NAME?</v>
      </c>
      <c r="K6" t="e">
        <f t="shared" ca="1" si="2"/>
        <v>#NAME?</v>
      </c>
      <c r="L6" t="str">
        <f t="shared" si="3"/>
        <v>Janitorial Direct</v>
      </c>
      <c r="M6">
        <f t="shared" si="4"/>
        <v>55</v>
      </c>
      <c r="N6">
        <f t="shared" si="5"/>
        <v>2</v>
      </c>
    </row>
    <row r="7" spans="1:26">
      <c r="A7" t="s">
        <v>182</v>
      </c>
      <c r="B7" t="s">
        <v>179</v>
      </c>
      <c r="C7" t="s">
        <v>180</v>
      </c>
      <c r="D7" s="18">
        <v>38</v>
      </c>
      <c r="E7" s="7">
        <v>4</v>
      </c>
      <c r="F7" s="7">
        <v>8</v>
      </c>
      <c r="G7" s="7">
        <f t="shared" si="0"/>
        <v>7</v>
      </c>
      <c r="H7" s="7">
        <f ca="1">IFERROR(10*_xludf.AGGREGATE(15,6,$D$4:$D$29/($B$4:$B$29=B7),1)/D7,0)</f>
        <v>0</v>
      </c>
      <c r="I7" s="7">
        <f t="shared" ca="1" si="1"/>
        <v>4.5</v>
      </c>
      <c r="J7" t="e">
        <f ca="1">IF(I7=_xludf.AGGREGATE(14,6,$I$4:$I$29/($B$4:$B$29=B7),1),"Preferred","Alt")</f>
        <v>#NAME?</v>
      </c>
      <c r="K7" t="e">
        <f t="shared" ca="1" si="2"/>
        <v>#NAME?</v>
      </c>
      <c r="L7" t="str">
        <f t="shared" si="3"/>
        <v>Facility Depot</v>
      </c>
      <c r="M7">
        <f t="shared" si="4"/>
        <v>38</v>
      </c>
      <c r="N7">
        <f t="shared" si="5"/>
        <v>4</v>
      </c>
    </row>
    <row r="8" spans="1:26">
      <c r="A8" t="s">
        <v>177</v>
      </c>
      <c r="B8" t="s">
        <v>179</v>
      </c>
      <c r="C8" t="s">
        <v>180</v>
      </c>
      <c r="D8" s="18">
        <v>41</v>
      </c>
      <c r="E8" s="7">
        <v>3</v>
      </c>
      <c r="F8" s="7">
        <v>9</v>
      </c>
      <c r="G8" s="7">
        <f t="shared" si="0"/>
        <v>8</v>
      </c>
      <c r="H8" s="7">
        <f ca="1">IFERROR(10*_xludf.AGGREGATE(15,6,$D$4:$D$29/($B$4:$B$29=B8),1)/D8,0)</f>
        <v>0</v>
      </c>
      <c r="I8" s="7">
        <f t="shared" ca="1" si="1"/>
        <v>5.0999999999999996</v>
      </c>
      <c r="J8" t="e">
        <f ca="1">IF(I8=_xludf.AGGREGATE(14,6,$I$4:$I$29/($B$4:$B$29=B8),1),"Preferred","Alt")</f>
        <v>#NAME?</v>
      </c>
      <c r="K8" t="e">
        <f t="shared" ca="1" si="2"/>
        <v>#NAME?</v>
      </c>
      <c r="L8" t="str">
        <f t="shared" si="3"/>
        <v>CleanCo Supply</v>
      </c>
      <c r="M8">
        <f t="shared" si="4"/>
        <v>41</v>
      </c>
      <c r="N8">
        <f t="shared" si="5"/>
        <v>3</v>
      </c>
    </row>
    <row r="9" spans="1:26">
      <c r="A9" t="s">
        <v>188</v>
      </c>
      <c r="B9" t="s">
        <v>179</v>
      </c>
      <c r="C9" t="s">
        <v>180</v>
      </c>
      <c r="D9" s="18">
        <v>36</v>
      </c>
      <c r="E9" s="7">
        <v>7</v>
      </c>
      <c r="F9" s="7">
        <v>6</v>
      </c>
      <c r="G9" s="7">
        <f t="shared" si="0"/>
        <v>4</v>
      </c>
      <c r="H9" s="7">
        <f ca="1">IFERROR(10*_xludf.AGGREGATE(15,6,$D$4:$D$29/($B$4:$B$29=B9),1)/D9,0)</f>
        <v>0</v>
      </c>
      <c r="I9" s="7">
        <f t="shared" ca="1" si="1"/>
        <v>3</v>
      </c>
      <c r="J9" t="e">
        <f ca="1">IF(I9=_xludf.AGGREGATE(14,6,$I$4:$I$29/($B$4:$B$29=B9),1),"Preferred","Alt")</f>
        <v>#NAME?</v>
      </c>
      <c r="K9" t="e">
        <f t="shared" ca="1" si="2"/>
        <v>#NAME?</v>
      </c>
      <c r="L9" t="str">
        <f t="shared" si="3"/>
        <v>Janitorial Direct</v>
      </c>
      <c r="M9">
        <f t="shared" si="4"/>
        <v>36</v>
      </c>
      <c r="N9">
        <f t="shared" si="5"/>
        <v>7</v>
      </c>
    </row>
    <row r="10" spans="1:26">
      <c r="A10" t="s">
        <v>188</v>
      </c>
      <c r="B10" t="s">
        <v>184</v>
      </c>
      <c r="C10" t="s">
        <v>185</v>
      </c>
      <c r="D10" s="18">
        <v>24</v>
      </c>
      <c r="E10" s="7">
        <v>3</v>
      </c>
      <c r="F10" s="7">
        <v>9</v>
      </c>
      <c r="G10" s="7">
        <f t="shared" si="0"/>
        <v>8</v>
      </c>
      <c r="H10" s="7">
        <f ca="1">IFERROR(10*_xludf.AGGREGATE(15,6,$D$4:$D$29/($B$4:$B$29=B10),1)/D10,0)</f>
        <v>0</v>
      </c>
      <c r="I10" s="7">
        <f t="shared" ca="1" si="1"/>
        <v>5.0999999999999996</v>
      </c>
      <c r="J10" t="e">
        <f ca="1">IF(I10=_xludf.AGGREGATE(14,6,$I$4:$I$29/($B$4:$B$29=B10),1),"Preferred","Alt")</f>
        <v>#NAME?</v>
      </c>
      <c r="K10" t="e">
        <f t="shared" ca="1" si="2"/>
        <v>#NAME?</v>
      </c>
      <c r="L10" t="str">
        <f t="shared" si="3"/>
        <v>Janitorial Direct</v>
      </c>
      <c r="M10">
        <f t="shared" si="4"/>
        <v>24</v>
      </c>
      <c r="N10">
        <f t="shared" si="5"/>
        <v>3</v>
      </c>
    </row>
    <row r="11" spans="1:26">
      <c r="A11" t="s">
        <v>177</v>
      </c>
      <c r="B11" t="s">
        <v>184</v>
      </c>
      <c r="C11" t="s">
        <v>185</v>
      </c>
      <c r="D11" s="18">
        <v>26</v>
      </c>
      <c r="E11" s="7">
        <v>2</v>
      </c>
      <c r="F11" s="7">
        <v>8</v>
      </c>
      <c r="G11" s="7">
        <f t="shared" si="0"/>
        <v>9</v>
      </c>
      <c r="H11" s="7">
        <f ca="1">IFERROR(10*_xludf.AGGREGATE(15,6,$D$4:$D$29/($B$4:$B$29=B11),1)/D11,0)</f>
        <v>0</v>
      </c>
      <c r="I11" s="7">
        <f t="shared" ca="1" si="1"/>
        <v>5.0999999999999996</v>
      </c>
      <c r="J11" t="e">
        <f ca="1">IF(I11=_xludf.AGGREGATE(14,6,$I$4:$I$29/($B$4:$B$29=B11),1),"Preferred","Alt")</f>
        <v>#NAME?</v>
      </c>
      <c r="K11" t="e">
        <f t="shared" ca="1" si="2"/>
        <v>#NAME?</v>
      </c>
      <c r="L11" t="str">
        <f t="shared" si="3"/>
        <v>CleanCo Supply</v>
      </c>
      <c r="M11">
        <f t="shared" si="4"/>
        <v>26</v>
      </c>
      <c r="N11">
        <f t="shared" si="5"/>
        <v>2</v>
      </c>
    </row>
    <row r="12" spans="1:26">
      <c r="A12" t="s">
        <v>182</v>
      </c>
      <c r="B12" t="s">
        <v>184</v>
      </c>
      <c r="C12" t="s">
        <v>185</v>
      </c>
      <c r="D12" s="18">
        <v>23</v>
      </c>
      <c r="E12" s="7">
        <v>6</v>
      </c>
      <c r="F12" s="7">
        <v>7</v>
      </c>
      <c r="G12" s="7">
        <f t="shared" si="0"/>
        <v>5</v>
      </c>
      <c r="H12" s="7">
        <f ca="1">IFERROR(10*_xludf.AGGREGATE(15,6,$D$4:$D$29/($B$4:$B$29=B12),1)/D12,0)</f>
        <v>0</v>
      </c>
      <c r="I12" s="7">
        <f t="shared" ca="1" si="1"/>
        <v>3.6</v>
      </c>
      <c r="J12" t="e">
        <f ca="1">IF(I12=_xludf.AGGREGATE(14,6,$I$4:$I$29/($B$4:$B$29=B12),1),"Preferred","Alt")</f>
        <v>#NAME?</v>
      </c>
      <c r="K12" t="e">
        <f t="shared" ca="1" si="2"/>
        <v>#NAME?</v>
      </c>
      <c r="L12" t="str">
        <f t="shared" si="3"/>
        <v>Facility Depot</v>
      </c>
      <c r="M12">
        <f t="shared" si="4"/>
        <v>23</v>
      </c>
      <c r="N12">
        <f t="shared" si="5"/>
        <v>6</v>
      </c>
    </row>
    <row r="13" spans="1:26">
      <c r="A13" t="s">
        <v>177</v>
      </c>
      <c r="B13" t="s">
        <v>190</v>
      </c>
      <c r="C13" t="s">
        <v>191</v>
      </c>
      <c r="D13" s="18">
        <v>18</v>
      </c>
      <c r="E13" s="7">
        <v>3</v>
      </c>
      <c r="F13" s="7">
        <v>9</v>
      </c>
      <c r="G13" s="7">
        <f t="shared" si="0"/>
        <v>8</v>
      </c>
      <c r="H13" s="7">
        <f ca="1">IFERROR(10*_xludf.AGGREGATE(15,6,$D$4:$D$29/($B$4:$B$29=B13),1)/D13,0)</f>
        <v>0</v>
      </c>
      <c r="I13" s="7">
        <f t="shared" ca="1" si="1"/>
        <v>5.0999999999999996</v>
      </c>
      <c r="J13" t="e">
        <f ca="1">IF(I13=_xludf.AGGREGATE(14,6,$I$4:$I$29/($B$4:$B$29=B13),1),"Preferred","Alt")</f>
        <v>#NAME?</v>
      </c>
      <c r="K13" t="e">
        <f t="shared" ca="1" si="2"/>
        <v>#NAME?</v>
      </c>
      <c r="L13" t="str">
        <f t="shared" si="3"/>
        <v>CleanCo Supply</v>
      </c>
      <c r="M13">
        <f t="shared" si="4"/>
        <v>18</v>
      </c>
      <c r="N13">
        <f t="shared" si="5"/>
        <v>3</v>
      </c>
    </row>
    <row r="14" spans="1:26">
      <c r="A14" t="s">
        <v>182</v>
      </c>
      <c r="B14" t="s">
        <v>190</v>
      </c>
      <c r="C14" t="s">
        <v>191</v>
      </c>
      <c r="D14" s="18">
        <v>17</v>
      </c>
      <c r="E14" s="7">
        <v>5</v>
      </c>
      <c r="F14" s="7">
        <v>7</v>
      </c>
      <c r="G14" s="7">
        <f t="shared" si="0"/>
        <v>6</v>
      </c>
      <c r="H14" s="7">
        <f ca="1">IFERROR(10*_xludf.AGGREGATE(15,6,$D$4:$D$29/($B$4:$B$29=B14),1)/D14,0)</f>
        <v>0</v>
      </c>
      <c r="I14" s="7">
        <f t="shared" ca="1" si="1"/>
        <v>3.9</v>
      </c>
      <c r="J14" t="e">
        <f ca="1">IF(I14=_xludf.AGGREGATE(14,6,$I$4:$I$29/($B$4:$B$29=B14),1),"Preferred","Alt")</f>
        <v>#NAME?</v>
      </c>
      <c r="K14" t="e">
        <f t="shared" ca="1" si="2"/>
        <v>#NAME?</v>
      </c>
      <c r="L14" t="str">
        <f t="shared" si="3"/>
        <v>Facility Depot</v>
      </c>
      <c r="M14">
        <f t="shared" si="4"/>
        <v>17</v>
      </c>
      <c r="N14">
        <f t="shared" si="5"/>
        <v>5</v>
      </c>
    </row>
    <row r="15" spans="1:26">
      <c r="A15" t="s">
        <v>188</v>
      </c>
      <c r="B15" t="s">
        <v>190</v>
      </c>
      <c r="C15" t="s">
        <v>191</v>
      </c>
      <c r="D15" s="18">
        <v>19</v>
      </c>
      <c r="E15" s="7">
        <v>2</v>
      </c>
      <c r="F15" s="7">
        <v>8</v>
      </c>
      <c r="G15" s="7">
        <f t="shared" si="0"/>
        <v>9</v>
      </c>
      <c r="H15" s="7">
        <f ca="1">IFERROR(10*_xludf.AGGREGATE(15,6,$D$4:$D$29/($B$4:$B$29=B15),1)/D15,0)</f>
        <v>0</v>
      </c>
      <c r="I15" s="7">
        <f t="shared" ca="1" si="1"/>
        <v>5.0999999999999996</v>
      </c>
      <c r="J15" t="e">
        <f ca="1">IF(I15=_xludf.AGGREGATE(14,6,$I$4:$I$29/($B$4:$B$29=B15),1),"Preferred","Alt")</f>
        <v>#NAME?</v>
      </c>
      <c r="K15" t="e">
        <f t="shared" ca="1" si="2"/>
        <v>#NAME?</v>
      </c>
      <c r="L15" t="str">
        <f t="shared" si="3"/>
        <v>Janitorial Direct</v>
      </c>
      <c r="M15">
        <f t="shared" si="4"/>
        <v>19</v>
      </c>
      <c r="N15">
        <f t="shared" si="5"/>
        <v>2</v>
      </c>
    </row>
    <row r="16" spans="1:26">
      <c r="A16" t="s">
        <v>182</v>
      </c>
      <c r="B16" t="s">
        <v>193</v>
      </c>
      <c r="C16" t="s">
        <v>194</v>
      </c>
      <c r="D16" s="18">
        <v>44</v>
      </c>
      <c r="E16" s="7">
        <v>4</v>
      </c>
      <c r="F16" s="7">
        <v>8</v>
      </c>
      <c r="G16" s="7">
        <f t="shared" si="0"/>
        <v>7</v>
      </c>
      <c r="H16" s="7">
        <f ca="1">IFERROR(10*_xludf.AGGREGATE(15,6,$D$4:$D$29/($B$4:$B$29=B16),1)/D16,0)</f>
        <v>0</v>
      </c>
      <c r="I16" s="7">
        <f t="shared" ca="1" si="1"/>
        <v>4.5</v>
      </c>
      <c r="J16" t="e">
        <f ca="1">IF(I16=_xludf.AGGREGATE(14,6,$I$4:$I$29/($B$4:$B$29=B16),1),"Preferred","Alt")</f>
        <v>#NAME?</v>
      </c>
      <c r="K16" t="e">
        <f t="shared" ca="1" si="2"/>
        <v>#NAME?</v>
      </c>
      <c r="L16" t="str">
        <f t="shared" si="3"/>
        <v>Facility Depot</v>
      </c>
      <c r="M16">
        <f t="shared" si="4"/>
        <v>44</v>
      </c>
      <c r="N16">
        <f t="shared" si="5"/>
        <v>4</v>
      </c>
    </row>
    <row r="17" spans="1:14">
      <c r="A17" t="s">
        <v>177</v>
      </c>
      <c r="B17" t="s">
        <v>193</v>
      </c>
      <c r="C17" t="s">
        <v>194</v>
      </c>
      <c r="D17" s="18">
        <v>47</v>
      </c>
      <c r="E17" s="7">
        <v>2</v>
      </c>
      <c r="F17" s="7">
        <v>9</v>
      </c>
      <c r="G17" s="7">
        <f t="shared" si="0"/>
        <v>9</v>
      </c>
      <c r="H17" s="7">
        <f ca="1">IFERROR(10*_xludf.AGGREGATE(15,6,$D$4:$D$29/($B$4:$B$29=B17),1)/D17,0)</f>
        <v>0</v>
      </c>
      <c r="I17" s="7">
        <f t="shared" ca="1" si="1"/>
        <v>5.4</v>
      </c>
      <c r="J17" t="e">
        <f ca="1">IF(I17=_xludf.AGGREGATE(14,6,$I$4:$I$29/($B$4:$B$29=B17),1),"Preferred","Alt")</f>
        <v>#NAME?</v>
      </c>
      <c r="K17" t="e">
        <f t="shared" ca="1" si="2"/>
        <v>#NAME?</v>
      </c>
      <c r="L17" t="str">
        <f t="shared" si="3"/>
        <v>CleanCo Supply</v>
      </c>
      <c r="M17">
        <f t="shared" si="4"/>
        <v>47</v>
      </c>
      <c r="N17">
        <f t="shared" si="5"/>
        <v>2</v>
      </c>
    </row>
    <row r="18" spans="1:14">
      <c r="A18" t="s">
        <v>188</v>
      </c>
      <c r="B18" t="s">
        <v>193</v>
      </c>
      <c r="C18" t="s">
        <v>194</v>
      </c>
      <c r="D18" s="18">
        <v>42</v>
      </c>
      <c r="E18" s="7">
        <v>6</v>
      </c>
      <c r="F18" s="7">
        <v>7</v>
      </c>
      <c r="G18" s="7">
        <f t="shared" si="0"/>
        <v>5</v>
      </c>
      <c r="H18" s="7">
        <f ca="1">IFERROR(10*_xludf.AGGREGATE(15,6,$D$4:$D$29/($B$4:$B$29=B18),1)/D18,0)</f>
        <v>0</v>
      </c>
      <c r="I18" s="7">
        <f t="shared" ca="1" si="1"/>
        <v>3.6</v>
      </c>
      <c r="J18" t="e">
        <f ca="1">IF(I18=_xludf.AGGREGATE(14,6,$I$4:$I$29/($B$4:$B$29=B18),1),"Preferred","Alt")</f>
        <v>#NAME?</v>
      </c>
      <c r="K18" t="e">
        <f t="shared" ca="1" si="2"/>
        <v>#NAME?</v>
      </c>
      <c r="L18" t="str">
        <f t="shared" si="3"/>
        <v>Janitorial Direct</v>
      </c>
      <c r="M18">
        <f t="shared" si="4"/>
        <v>42</v>
      </c>
      <c r="N18">
        <f t="shared" si="5"/>
        <v>6</v>
      </c>
    </row>
    <row r="19" spans="1:14">
      <c r="A19" t="s">
        <v>182</v>
      </c>
      <c r="B19" t="s">
        <v>197</v>
      </c>
      <c r="C19" t="s">
        <v>198</v>
      </c>
      <c r="D19" s="18">
        <v>39</v>
      </c>
      <c r="E19" s="7">
        <v>4</v>
      </c>
      <c r="F19" s="7">
        <v>8</v>
      </c>
      <c r="G19" s="7">
        <f t="shared" si="0"/>
        <v>7</v>
      </c>
      <c r="H19" s="7">
        <f ca="1">IFERROR(10*_xludf.AGGREGATE(15,6,$D$4:$D$29/($B$4:$B$29=B19),1)/D19,0)</f>
        <v>0</v>
      </c>
      <c r="I19" s="7">
        <f t="shared" ca="1" si="1"/>
        <v>4.5</v>
      </c>
      <c r="J19" t="e">
        <f ca="1">IF(I19=_xludf.AGGREGATE(14,6,$I$4:$I$29/($B$4:$B$29=B19),1),"Preferred","Alt")</f>
        <v>#NAME?</v>
      </c>
      <c r="K19" t="e">
        <f t="shared" ca="1" si="2"/>
        <v>#NAME?</v>
      </c>
      <c r="L19" t="str">
        <f t="shared" si="3"/>
        <v>Facility Depot</v>
      </c>
      <c r="M19">
        <f t="shared" si="4"/>
        <v>39</v>
      </c>
      <c r="N19">
        <f t="shared" si="5"/>
        <v>4</v>
      </c>
    </row>
    <row r="20" spans="1:14">
      <c r="A20" t="s">
        <v>177</v>
      </c>
      <c r="B20" t="s">
        <v>197</v>
      </c>
      <c r="C20" t="s">
        <v>198</v>
      </c>
      <c r="D20" s="18">
        <v>41</v>
      </c>
      <c r="E20" s="7">
        <v>2</v>
      </c>
      <c r="F20" s="7">
        <v>9</v>
      </c>
      <c r="G20" s="7">
        <f t="shared" si="0"/>
        <v>9</v>
      </c>
      <c r="H20" s="7">
        <f ca="1">IFERROR(10*_xludf.AGGREGATE(15,6,$D$4:$D$29/($B$4:$B$29=B20),1)/D20,0)</f>
        <v>0</v>
      </c>
      <c r="I20" s="7">
        <f t="shared" ca="1" si="1"/>
        <v>5.4</v>
      </c>
      <c r="J20" t="e">
        <f ca="1">IF(I20=_xludf.AGGREGATE(14,6,$I$4:$I$29/($B$4:$B$29=B20),1),"Preferred","Alt")</f>
        <v>#NAME?</v>
      </c>
      <c r="K20" t="e">
        <f t="shared" ca="1" si="2"/>
        <v>#NAME?</v>
      </c>
      <c r="L20" t="str">
        <f t="shared" si="3"/>
        <v>CleanCo Supply</v>
      </c>
      <c r="M20">
        <f t="shared" si="4"/>
        <v>41</v>
      </c>
      <c r="N20">
        <f t="shared" si="5"/>
        <v>2</v>
      </c>
    </row>
    <row r="21" spans="1:14">
      <c r="A21" t="s">
        <v>188</v>
      </c>
      <c r="B21" t="s">
        <v>197</v>
      </c>
      <c r="C21" t="s">
        <v>198</v>
      </c>
      <c r="D21" s="18">
        <v>37</v>
      </c>
      <c r="E21" s="7">
        <v>7</v>
      </c>
      <c r="F21" s="7">
        <v>6</v>
      </c>
      <c r="G21" s="7">
        <f t="shared" si="0"/>
        <v>4</v>
      </c>
      <c r="H21" s="7">
        <f ca="1">IFERROR(10*_xludf.AGGREGATE(15,6,$D$4:$D$29/($B$4:$B$29=B21),1)/D21,0)</f>
        <v>0</v>
      </c>
      <c r="I21" s="7">
        <f t="shared" ca="1" si="1"/>
        <v>3</v>
      </c>
      <c r="J21" t="e">
        <f ca="1">IF(I21=_xludf.AGGREGATE(14,6,$I$4:$I$29/($B$4:$B$29=B21),1),"Preferred","Alt")</f>
        <v>#NAME?</v>
      </c>
      <c r="K21" t="e">
        <f t="shared" ca="1" si="2"/>
        <v>#NAME?</v>
      </c>
      <c r="L21" t="str">
        <f t="shared" si="3"/>
        <v>Janitorial Direct</v>
      </c>
      <c r="M21">
        <f t="shared" si="4"/>
        <v>37</v>
      </c>
      <c r="N21">
        <f t="shared" si="5"/>
        <v>7</v>
      </c>
    </row>
    <row r="22" spans="1:14">
      <c r="A22" t="s">
        <v>177</v>
      </c>
      <c r="B22" t="s">
        <v>199</v>
      </c>
      <c r="C22" t="s">
        <v>200</v>
      </c>
      <c r="D22" s="18">
        <v>32</v>
      </c>
      <c r="E22" s="7">
        <v>3</v>
      </c>
      <c r="F22" s="7">
        <v>9</v>
      </c>
      <c r="G22" s="7">
        <f t="shared" si="0"/>
        <v>8</v>
      </c>
      <c r="H22" s="7">
        <f ca="1">IFERROR(10*_xludf.AGGREGATE(15,6,$D$4:$D$29/($B$4:$B$29=B22),1)/D22,0)</f>
        <v>0</v>
      </c>
      <c r="I22" s="7">
        <f t="shared" ca="1" si="1"/>
        <v>5.0999999999999996</v>
      </c>
      <c r="J22" t="e">
        <f ca="1">IF(I22=_xludf.AGGREGATE(14,6,$I$4:$I$29/($B$4:$B$29=B22),1),"Preferred","Alt")</f>
        <v>#NAME?</v>
      </c>
      <c r="K22" t="e">
        <f t="shared" ca="1" si="2"/>
        <v>#NAME?</v>
      </c>
      <c r="L22" t="str">
        <f t="shared" si="3"/>
        <v>CleanCo Supply</v>
      </c>
      <c r="M22">
        <f t="shared" si="4"/>
        <v>32</v>
      </c>
      <c r="N22">
        <f t="shared" si="5"/>
        <v>3</v>
      </c>
    </row>
    <row r="23" spans="1:14">
      <c r="A23" t="s">
        <v>188</v>
      </c>
      <c r="B23" t="s">
        <v>199</v>
      </c>
      <c r="C23" t="s">
        <v>200</v>
      </c>
      <c r="D23" s="18">
        <v>30</v>
      </c>
      <c r="E23" s="7">
        <v>5</v>
      </c>
      <c r="F23" s="7">
        <v>7</v>
      </c>
      <c r="G23" s="7">
        <f t="shared" si="0"/>
        <v>6</v>
      </c>
      <c r="H23" s="7">
        <f ca="1">IFERROR(10*_xludf.AGGREGATE(15,6,$D$4:$D$29/($B$4:$B$29=B23),1)/D23,0)</f>
        <v>0</v>
      </c>
      <c r="I23" s="7">
        <f t="shared" ca="1" si="1"/>
        <v>3.9</v>
      </c>
      <c r="J23" t="e">
        <f ca="1">IF(I23=_xludf.AGGREGATE(14,6,$I$4:$I$29/($B$4:$B$29=B23),1),"Preferred","Alt")</f>
        <v>#NAME?</v>
      </c>
      <c r="K23" t="e">
        <f t="shared" ca="1" si="2"/>
        <v>#NAME?</v>
      </c>
      <c r="L23" t="str">
        <f t="shared" si="3"/>
        <v>Janitorial Direct</v>
      </c>
      <c r="M23">
        <f t="shared" si="4"/>
        <v>30</v>
      </c>
      <c r="N23">
        <f t="shared" si="5"/>
        <v>5</v>
      </c>
    </row>
    <row r="24" spans="1:14">
      <c r="A24" t="s">
        <v>188</v>
      </c>
      <c r="B24" t="s">
        <v>204</v>
      </c>
      <c r="C24" t="s">
        <v>205</v>
      </c>
      <c r="D24" s="18">
        <v>9</v>
      </c>
      <c r="E24" s="7">
        <v>3</v>
      </c>
      <c r="F24" s="7">
        <v>9</v>
      </c>
      <c r="G24" s="7">
        <f t="shared" si="0"/>
        <v>8</v>
      </c>
      <c r="H24" s="7">
        <f ca="1">IFERROR(10*_xludf.AGGREGATE(15,6,$D$4:$D$29/($B$4:$B$29=B24),1)/D24,0)</f>
        <v>0</v>
      </c>
      <c r="I24" s="7">
        <f t="shared" ca="1" si="1"/>
        <v>5.0999999999999996</v>
      </c>
      <c r="J24" t="e">
        <f ca="1">IF(I24=_xludf.AGGREGATE(14,6,$I$4:$I$29/($B$4:$B$29=B24),1),"Preferred","Alt")</f>
        <v>#NAME?</v>
      </c>
      <c r="K24" t="e">
        <f t="shared" ca="1" si="2"/>
        <v>#NAME?</v>
      </c>
      <c r="L24" t="str">
        <f t="shared" si="3"/>
        <v>Janitorial Direct</v>
      </c>
      <c r="M24">
        <f t="shared" si="4"/>
        <v>9</v>
      </c>
      <c r="N24">
        <f t="shared" si="5"/>
        <v>3</v>
      </c>
    </row>
    <row r="25" spans="1:14">
      <c r="A25" t="s">
        <v>177</v>
      </c>
      <c r="B25" t="s">
        <v>204</v>
      </c>
      <c r="C25" t="s">
        <v>205</v>
      </c>
      <c r="D25" s="18">
        <v>10</v>
      </c>
      <c r="E25" s="7">
        <v>2</v>
      </c>
      <c r="F25" s="7">
        <v>8</v>
      </c>
      <c r="G25" s="7">
        <f t="shared" si="0"/>
        <v>9</v>
      </c>
      <c r="H25" s="7">
        <f ca="1">IFERROR(10*_xludf.AGGREGATE(15,6,$D$4:$D$29/($B$4:$B$29=B25),1)/D25,0)</f>
        <v>0</v>
      </c>
      <c r="I25" s="7">
        <f t="shared" ca="1" si="1"/>
        <v>5.0999999999999996</v>
      </c>
      <c r="J25" t="e">
        <f ca="1">IF(I25=_xludf.AGGREGATE(14,6,$I$4:$I$29/($B$4:$B$29=B25),1),"Preferred","Alt")</f>
        <v>#NAME?</v>
      </c>
      <c r="K25" t="e">
        <f t="shared" ca="1" si="2"/>
        <v>#NAME?</v>
      </c>
      <c r="L25" t="str">
        <f t="shared" si="3"/>
        <v>CleanCo Supply</v>
      </c>
      <c r="M25">
        <f t="shared" si="4"/>
        <v>10</v>
      </c>
      <c r="N25">
        <f t="shared" si="5"/>
        <v>2</v>
      </c>
    </row>
    <row r="26" spans="1:14">
      <c r="A26" t="s">
        <v>188</v>
      </c>
      <c r="B26" t="s">
        <v>208</v>
      </c>
      <c r="C26" t="s">
        <v>209</v>
      </c>
      <c r="D26" s="18">
        <v>21</v>
      </c>
      <c r="E26" s="7">
        <v>3</v>
      </c>
      <c r="F26" s="7">
        <v>9</v>
      </c>
      <c r="G26" s="7">
        <f t="shared" si="0"/>
        <v>8</v>
      </c>
      <c r="H26" s="7">
        <f ca="1">IFERROR(10*_xludf.AGGREGATE(15,6,$D$4:$D$29/($B$4:$B$29=B26),1)/D26,0)</f>
        <v>0</v>
      </c>
      <c r="I26" s="7">
        <f t="shared" ca="1" si="1"/>
        <v>5.0999999999999996</v>
      </c>
      <c r="J26" t="e">
        <f ca="1">IF(I26=_xludf.AGGREGATE(14,6,$I$4:$I$29/($B$4:$B$29=B26),1),"Preferred","Alt")</f>
        <v>#NAME?</v>
      </c>
      <c r="K26" t="e">
        <f t="shared" ca="1" si="2"/>
        <v>#NAME?</v>
      </c>
      <c r="L26" t="str">
        <f t="shared" si="3"/>
        <v>Janitorial Direct</v>
      </c>
      <c r="M26">
        <f t="shared" si="4"/>
        <v>21</v>
      </c>
      <c r="N26">
        <f t="shared" si="5"/>
        <v>3</v>
      </c>
    </row>
    <row r="27" spans="1:14">
      <c r="A27" t="s">
        <v>177</v>
      </c>
      <c r="B27" t="s">
        <v>208</v>
      </c>
      <c r="C27" t="s">
        <v>209</v>
      </c>
      <c r="D27" s="18">
        <v>23</v>
      </c>
      <c r="E27" s="7">
        <v>2</v>
      </c>
      <c r="F27" s="7">
        <v>8</v>
      </c>
      <c r="G27" s="7">
        <f t="shared" si="0"/>
        <v>9</v>
      </c>
      <c r="H27" s="7">
        <f ca="1">IFERROR(10*_xludf.AGGREGATE(15,6,$D$4:$D$29/($B$4:$B$29=B27),1)/D27,0)</f>
        <v>0</v>
      </c>
      <c r="I27" s="7">
        <f t="shared" ca="1" si="1"/>
        <v>5.0999999999999996</v>
      </c>
      <c r="J27" t="e">
        <f ca="1">IF(I27=_xludf.AGGREGATE(14,6,$I$4:$I$29/($B$4:$B$29=B27),1),"Preferred","Alt")</f>
        <v>#NAME?</v>
      </c>
      <c r="K27" t="e">
        <f t="shared" ca="1" si="2"/>
        <v>#NAME?</v>
      </c>
      <c r="L27" t="str">
        <f t="shared" si="3"/>
        <v>CleanCo Supply</v>
      </c>
      <c r="M27">
        <f t="shared" si="4"/>
        <v>23</v>
      </c>
      <c r="N27">
        <f t="shared" si="5"/>
        <v>2</v>
      </c>
    </row>
    <row r="28" spans="1:14">
      <c r="A28" t="s">
        <v>182</v>
      </c>
      <c r="B28" t="s">
        <v>211</v>
      </c>
      <c r="C28" t="s">
        <v>212</v>
      </c>
      <c r="D28" s="18">
        <v>35</v>
      </c>
      <c r="E28" s="7">
        <v>4</v>
      </c>
      <c r="F28" s="7">
        <v>8</v>
      </c>
      <c r="G28" s="7">
        <f t="shared" si="0"/>
        <v>7</v>
      </c>
      <c r="H28" s="7">
        <f ca="1">IFERROR(10*_xludf.AGGREGATE(15,6,$D$4:$D$29/($B$4:$B$29=B28),1)/D28,0)</f>
        <v>0</v>
      </c>
      <c r="I28" s="7">
        <f t="shared" ca="1" si="1"/>
        <v>4.5</v>
      </c>
      <c r="J28" t="e">
        <f ca="1">IF(I28=_xludf.AGGREGATE(14,6,$I$4:$I$29/($B$4:$B$29=B28),1),"Preferred","Alt")</f>
        <v>#NAME?</v>
      </c>
      <c r="K28" t="e">
        <f t="shared" ca="1" si="2"/>
        <v>#NAME?</v>
      </c>
      <c r="L28" t="str">
        <f t="shared" si="3"/>
        <v>Facility Depot</v>
      </c>
      <c r="M28">
        <f t="shared" si="4"/>
        <v>35</v>
      </c>
      <c r="N28">
        <f t="shared" si="5"/>
        <v>4</v>
      </c>
    </row>
    <row r="29" spans="1:14">
      <c r="A29" t="s">
        <v>177</v>
      </c>
      <c r="B29" t="s">
        <v>211</v>
      </c>
      <c r="C29" t="s">
        <v>212</v>
      </c>
      <c r="D29" s="18">
        <v>37</v>
      </c>
      <c r="E29" s="7">
        <v>2</v>
      </c>
      <c r="F29" s="7">
        <v>9</v>
      </c>
      <c r="G29" s="7">
        <f t="shared" si="0"/>
        <v>9</v>
      </c>
      <c r="H29" s="7">
        <f ca="1">IFERROR(10*_xludf.AGGREGATE(15,6,$D$4:$D$29/($B$4:$B$29=B29),1)/D29,0)</f>
        <v>0</v>
      </c>
      <c r="I29" s="7">
        <f t="shared" ca="1" si="1"/>
        <v>5.4</v>
      </c>
      <c r="J29" t="e">
        <f ca="1">IF(I29=_xludf.AGGREGATE(14,6,$I$4:$I$29/($B$4:$B$29=B29),1),"Preferred","Alt")</f>
        <v>#NAME?</v>
      </c>
      <c r="K29" t="e">
        <f t="shared" ca="1" si="2"/>
        <v>#NAME?</v>
      </c>
      <c r="L29" t="str">
        <f t="shared" si="3"/>
        <v>CleanCo Supply</v>
      </c>
      <c r="M29">
        <f t="shared" si="4"/>
        <v>37</v>
      </c>
      <c r="N29">
        <f t="shared" si="5"/>
        <v>2</v>
      </c>
    </row>
  </sheetData>
  <conditionalFormatting sqref="I4:I29">
    <cfRule type="colorScale" priority="2">
      <colorScale>
        <cfvo type="min"/>
        <cfvo type="percentile" val="50"/>
        <cfvo type="max"/>
        <color rgb="FFFCA5A5"/>
        <color rgb="FFFDE68A"/>
        <color rgb="FFBBF7D0"/>
      </colorScale>
    </cfRule>
  </conditionalFormatting>
  <conditionalFormatting sqref="J4:J29">
    <cfRule type="expression" dxfId="5" priority="3">
      <formula>J4="Preferred"</formula>
    </cfRule>
  </conditionalFormatting>
  <conditionalFormatting sqref="J4:J80">
    <cfRule type="expression" dxfId="4" priority="1">
      <formula>J4="Preferred"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23"/>
  <sheetViews>
    <sheetView workbookViewId="0"/>
  </sheetViews>
  <sheetFormatPr defaultRowHeight="14.25"/>
  <cols>
    <col min="1" max="1" width="32.75" customWidth="1"/>
    <col min="2" max="2" width="8.625" customWidth="1"/>
    <col min="3" max="3" width="19.75" customWidth="1"/>
    <col min="4" max="4" width="12.75" customWidth="1"/>
    <col min="5" max="5" width="13.625" customWidth="1"/>
    <col min="6" max="6" width="11.625" customWidth="1"/>
    <col min="7" max="7" width="6.625" customWidth="1"/>
    <col min="8" max="8" width="14" customWidth="1"/>
    <col min="9" max="9" width="11.875" customWidth="1"/>
    <col min="10" max="10" width="12.125" customWidth="1"/>
    <col min="11" max="11" width="13" customWidth="1"/>
    <col min="12" max="12" width="8.75" customWidth="1"/>
    <col min="13" max="26" width="16" customWidth="1"/>
  </cols>
  <sheetData>
    <row r="1" spans="1:26" ht="27.95" customHeight="1">
      <c r="A1" s="13" t="s">
        <v>234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1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5">
      <c r="A3" s="16" t="s">
        <v>64</v>
      </c>
      <c r="B3" s="16" t="s">
        <v>165</v>
      </c>
      <c r="C3" s="16" t="s">
        <v>33</v>
      </c>
      <c r="D3" s="16" t="s">
        <v>66</v>
      </c>
      <c r="E3" s="16" t="s">
        <v>73</v>
      </c>
      <c r="F3" s="16" t="s">
        <v>69</v>
      </c>
      <c r="G3" s="16" t="s">
        <v>67</v>
      </c>
      <c r="H3" s="16" t="s">
        <v>235</v>
      </c>
      <c r="I3" s="16" t="s">
        <v>236</v>
      </c>
      <c r="J3" s="16" t="s">
        <v>237</v>
      </c>
      <c r="K3" s="16" t="s">
        <v>238</v>
      </c>
      <c r="L3" s="16" t="s">
        <v>70</v>
      </c>
      <c r="M3" s="17"/>
      <c r="N3" s="17"/>
    </row>
    <row r="4" spans="1:26">
      <c r="A4" t="s">
        <v>75</v>
      </c>
      <c r="B4" t="s">
        <v>173</v>
      </c>
      <c r="C4" t="s">
        <v>174</v>
      </c>
      <c r="D4" t="str">
        <f>IFERROR(VLOOKUP(A4,Contracts!$A$4:$J$15,3,FALSE),"")</f>
        <v>Office</v>
      </c>
      <c r="E4">
        <f>IFERROR(VLOOKUP(A4,Contracts!$A$4:$J$15,10,FALSE),0)</f>
        <v>5</v>
      </c>
      <c r="F4">
        <f>IFERROR(VLOOKUP(A4,Contracts!$A$4:$J$15,6,FALSE),0)</f>
        <v>1</v>
      </c>
      <c r="G4">
        <f>IFERROR(VLOOKUP(A4,Contracts!$A$4:$J$15,4,FALSE),0)</f>
        <v>4500</v>
      </c>
      <c r="H4">
        <f>IFERROR(VLOOKUP(D4,Settings!$A$4:$B$10,2,FALSE),1)</f>
        <v>1</v>
      </c>
      <c r="I4">
        <f>IFERROR(VLOOKUP(B4,'Supply Catalog'!$A$4:$J$13,5,FALSE),0)</f>
        <v>0.18</v>
      </c>
      <c r="J4" s="7">
        <f>ROUNDUP(E4*((I4*H4)+(G4*IFERROR(VLOOKUP(B4,'Supply Catalog'!$A$4:$J$13,6,FALSE),0))+(F4*IFERROR(VLOOKUP(B4,'Supply Catalog'!$A$4:$J$13,7,FALSE),0))),1)</f>
        <v>1.5</v>
      </c>
      <c r="K4" s="7">
        <f t="shared" ref="K4:K35" si="0">ROUNDUP(J4*4.33,1)</f>
        <v>6.5</v>
      </c>
      <c r="L4" t="str">
        <f>IFERROR(VLOOKUP(A4,Contracts!$A$4:$J$15,7,FALSE),"")</f>
        <v>High</v>
      </c>
    </row>
    <row r="5" spans="1:26">
      <c r="A5" t="s">
        <v>75</v>
      </c>
      <c r="B5" t="s">
        <v>179</v>
      </c>
      <c r="C5" t="s">
        <v>180</v>
      </c>
      <c r="D5" t="str">
        <f>IFERROR(VLOOKUP(A5,Contracts!$A$4:$J$15,3,FALSE),"")</f>
        <v>Office</v>
      </c>
      <c r="E5">
        <f>IFERROR(VLOOKUP(A5,Contracts!$A$4:$J$15,10,FALSE),0)</f>
        <v>5</v>
      </c>
      <c r="F5">
        <f>IFERROR(VLOOKUP(A5,Contracts!$A$4:$J$15,6,FALSE),0)</f>
        <v>1</v>
      </c>
      <c r="G5">
        <f>IFERROR(VLOOKUP(A5,Contracts!$A$4:$J$15,4,FALSE),0)</f>
        <v>4500</v>
      </c>
      <c r="H5">
        <f>IFERROR(VLOOKUP(D5,Settings!$A$4:$B$10,2,FALSE),1)</f>
        <v>1</v>
      </c>
      <c r="I5">
        <f>IFERROR(VLOOKUP(B5,'Supply Catalog'!$A$4:$J$13,5,FALSE),0)</f>
        <v>0.45</v>
      </c>
      <c r="J5" s="7">
        <f>ROUNDUP(E5*((I5*H5)+(G5*IFERROR(VLOOKUP(B5,'Supply Catalog'!$A$4:$J$13,6,FALSE),0))+(F5*IFERROR(VLOOKUP(B5,'Supply Catalog'!$A$4:$J$13,7,FALSE),0))),1)</f>
        <v>2.9</v>
      </c>
      <c r="K5" s="7">
        <f t="shared" si="0"/>
        <v>12.6</v>
      </c>
      <c r="L5" t="str">
        <f>IFERROR(VLOOKUP(A5,Contracts!$A$4:$J$15,7,FALSE),"")</f>
        <v>High</v>
      </c>
    </row>
    <row r="6" spans="1:26">
      <c r="A6" t="s">
        <v>75</v>
      </c>
      <c r="B6" t="s">
        <v>184</v>
      </c>
      <c r="C6" t="s">
        <v>185</v>
      </c>
      <c r="D6" t="str">
        <f>IFERROR(VLOOKUP(A6,Contracts!$A$4:$J$15,3,FALSE),"")</f>
        <v>Office</v>
      </c>
      <c r="E6">
        <f>IFERROR(VLOOKUP(A6,Contracts!$A$4:$J$15,10,FALSE),0)</f>
        <v>5</v>
      </c>
      <c r="F6">
        <f>IFERROR(VLOOKUP(A6,Contracts!$A$4:$J$15,6,FALSE),0)</f>
        <v>1</v>
      </c>
      <c r="G6">
        <f>IFERROR(VLOOKUP(A6,Contracts!$A$4:$J$15,4,FALSE),0)</f>
        <v>4500</v>
      </c>
      <c r="H6">
        <f>IFERROR(VLOOKUP(D6,Settings!$A$4:$B$10,2,FALSE),1)</f>
        <v>1</v>
      </c>
      <c r="I6">
        <f>IFERROR(VLOOKUP(B6,'Supply Catalog'!$A$4:$J$13,5,FALSE),0)</f>
        <v>0.12</v>
      </c>
      <c r="J6" s="7">
        <f>ROUNDUP(E6*((I6*H6)+(G6*IFERROR(VLOOKUP(B6,'Supply Catalog'!$A$4:$J$13,6,FALSE),0))+(F6*IFERROR(VLOOKUP(B6,'Supply Catalog'!$A$4:$J$13,7,FALSE),0))),1)</f>
        <v>1.3</v>
      </c>
      <c r="K6" s="7">
        <f t="shared" si="0"/>
        <v>5.6999999999999993</v>
      </c>
      <c r="L6" t="str">
        <f>IFERROR(VLOOKUP(A6,Contracts!$A$4:$J$15,7,FALSE),"")</f>
        <v>High</v>
      </c>
    </row>
    <row r="7" spans="1:26">
      <c r="A7" t="s">
        <v>75</v>
      </c>
      <c r="B7" t="s">
        <v>190</v>
      </c>
      <c r="C7" t="s">
        <v>191</v>
      </c>
      <c r="D7" t="str">
        <f>IFERROR(VLOOKUP(A7,Contracts!$A$4:$J$15,3,FALSE),"")</f>
        <v>Office</v>
      </c>
      <c r="E7">
        <f>IFERROR(VLOOKUP(A7,Contracts!$A$4:$J$15,10,FALSE),0)</f>
        <v>5</v>
      </c>
      <c r="F7">
        <f>IFERROR(VLOOKUP(A7,Contracts!$A$4:$J$15,6,FALSE),0)</f>
        <v>1</v>
      </c>
      <c r="G7">
        <f>IFERROR(VLOOKUP(A7,Contracts!$A$4:$J$15,4,FALSE),0)</f>
        <v>4500</v>
      </c>
      <c r="H7">
        <f>IFERROR(VLOOKUP(D7,Settings!$A$4:$B$10,2,FALSE),1)</f>
        <v>1</v>
      </c>
      <c r="I7">
        <f>IFERROR(VLOOKUP(B7,'Supply Catalog'!$A$4:$J$13,5,FALSE),0)</f>
        <v>0.08</v>
      </c>
      <c r="J7" s="7">
        <f>ROUNDUP(E7*((I7*H7)+(G7*IFERROR(VLOOKUP(B7,'Supply Catalog'!$A$4:$J$13,6,FALSE),0))+(F7*IFERROR(VLOOKUP(B7,'Supply Catalog'!$A$4:$J$13,7,FALSE),0))),1)</f>
        <v>0.79999999999999993</v>
      </c>
      <c r="K7" s="7">
        <f t="shared" si="0"/>
        <v>3.5</v>
      </c>
      <c r="L7" t="str">
        <f>IFERROR(VLOOKUP(A7,Contracts!$A$4:$J$15,7,FALSE),"")</f>
        <v>High</v>
      </c>
    </row>
    <row r="8" spans="1:26">
      <c r="A8" t="s">
        <v>75</v>
      </c>
      <c r="B8" t="s">
        <v>193</v>
      </c>
      <c r="C8" t="s">
        <v>194</v>
      </c>
      <c r="D8" t="str">
        <f>IFERROR(VLOOKUP(A8,Contracts!$A$4:$J$15,3,FALSE),"")</f>
        <v>Office</v>
      </c>
      <c r="E8">
        <f>IFERROR(VLOOKUP(A8,Contracts!$A$4:$J$15,10,FALSE),0)</f>
        <v>5</v>
      </c>
      <c r="F8">
        <f>IFERROR(VLOOKUP(A8,Contracts!$A$4:$J$15,6,FALSE),0)</f>
        <v>1</v>
      </c>
      <c r="G8">
        <f>IFERROR(VLOOKUP(A8,Contracts!$A$4:$J$15,4,FALSE),0)</f>
        <v>4500</v>
      </c>
      <c r="H8">
        <f>IFERROR(VLOOKUP(D8,Settings!$A$4:$B$10,2,FALSE),1)</f>
        <v>1</v>
      </c>
      <c r="I8">
        <f>IFERROR(VLOOKUP(B8,'Supply Catalog'!$A$4:$J$13,5,FALSE),0)</f>
        <v>0.2</v>
      </c>
      <c r="J8" s="7">
        <f>ROUNDUP(E8*((I8*H8)+(G8*IFERROR(VLOOKUP(B8,'Supply Catalog'!$A$4:$J$13,6,FALSE),0))+(F8*IFERROR(VLOOKUP(B8,'Supply Catalog'!$A$4:$J$13,7,FALSE),0))),1)</f>
        <v>1.7000000000000002</v>
      </c>
      <c r="K8" s="7">
        <f t="shared" si="0"/>
        <v>7.3999999999999995</v>
      </c>
      <c r="L8" t="str">
        <f>IFERROR(VLOOKUP(A8,Contracts!$A$4:$J$15,7,FALSE),"")</f>
        <v>High</v>
      </c>
    </row>
    <row r="9" spans="1:26">
      <c r="A9" t="s">
        <v>75</v>
      </c>
      <c r="B9" t="s">
        <v>197</v>
      </c>
      <c r="C9" t="s">
        <v>198</v>
      </c>
      <c r="D9" t="str">
        <f>IFERROR(VLOOKUP(A9,Contracts!$A$4:$J$15,3,FALSE),"")</f>
        <v>Office</v>
      </c>
      <c r="E9">
        <f>IFERROR(VLOOKUP(A9,Contracts!$A$4:$J$15,10,FALSE),0)</f>
        <v>5</v>
      </c>
      <c r="F9">
        <f>IFERROR(VLOOKUP(A9,Contracts!$A$4:$J$15,6,FALSE),0)</f>
        <v>1</v>
      </c>
      <c r="G9">
        <f>IFERROR(VLOOKUP(A9,Contracts!$A$4:$J$15,4,FALSE),0)</f>
        <v>4500</v>
      </c>
      <c r="H9">
        <f>IFERROR(VLOOKUP(D9,Settings!$A$4:$B$10,2,FALSE),1)</f>
        <v>1</v>
      </c>
      <c r="I9">
        <f>IFERROR(VLOOKUP(B9,'Supply Catalog'!$A$4:$J$13,5,FALSE),0)</f>
        <v>0.16</v>
      </c>
      <c r="J9" s="7">
        <f>ROUNDUP(E9*((I9*H9)+(G9*IFERROR(VLOOKUP(B9,'Supply Catalog'!$A$4:$J$13,6,FALSE),0))+(F9*IFERROR(VLOOKUP(B9,'Supply Catalog'!$A$4:$J$13,7,FALSE),0))),1)</f>
        <v>1.5</v>
      </c>
      <c r="K9" s="7">
        <f t="shared" si="0"/>
        <v>6.5</v>
      </c>
      <c r="L9" t="str">
        <f>IFERROR(VLOOKUP(A9,Contracts!$A$4:$J$15,7,FALSE),"")</f>
        <v>High</v>
      </c>
    </row>
    <row r="10" spans="1:26">
      <c r="A10" t="s">
        <v>75</v>
      </c>
      <c r="B10" t="s">
        <v>199</v>
      </c>
      <c r="C10" t="s">
        <v>200</v>
      </c>
      <c r="D10" t="str">
        <f>IFERROR(VLOOKUP(A10,Contracts!$A$4:$J$15,3,FALSE),"")</f>
        <v>Office</v>
      </c>
      <c r="E10">
        <f>IFERROR(VLOOKUP(A10,Contracts!$A$4:$J$15,10,FALSE),0)</f>
        <v>5</v>
      </c>
      <c r="F10">
        <f>IFERROR(VLOOKUP(A10,Contracts!$A$4:$J$15,6,FALSE),0)</f>
        <v>1</v>
      </c>
      <c r="G10">
        <f>IFERROR(VLOOKUP(A10,Contracts!$A$4:$J$15,4,FALSE),0)</f>
        <v>4500</v>
      </c>
      <c r="H10">
        <f>IFERROR(VLOOKUP(D10,Settings!$A$4:$B$10,2,FALSE),1)</f>
        <v>1</v>
      </c>
      <c r="I10">
        <f>IFERROR(VLOOKUP(B10,'Supply Catalog'!$A$4:$J$13,5,FALSE),0)</f>
        <v>0.06</v>
      </c>
      <c r="J10" s="7">
        <f>ROUNDUP(E10*((I10*H10)+(G10*IFERROR(VLOOKUP(B10,'Supply Catalog'!$A$4:$J$13,6,FALSE),0))+(F10*IFERROR(VLOOKUP(B10,'Supply Catalog'!$A$4:$J$13,7,FALSE),0))),1)</f>
        <v>0.7</v>
      </c>
      <c r="K10" s="7">
        <f t="shared" si="0"/>
        <v>3.1</v>
      </c>
      <c r="L10" t="str">
        <f>IFERROR(VLOOKUP(A10,Contracts!$A$4:$J$15,7,FALSE),"")</f>
        <v>High</v>
      </c>
    </row>
    <row r="11" spans="1:26">
      <c r="A11" t="s">
        <v>75</v>
      </c>
      <c r="B11" t="s">
        <v>204</v>
      </c>
      <c r="C11" t="s">
        <v>205</v>
      </c>
      <c r="D11" t="str">
        <f>IFERROR(VLOOKUP(A11,Contracts!$A$4:$J$15,3,FALSE),"")</f>
        <v>Office</v>
      </c>
      <c r="E11">
        <f>IFERROR(VLOOKUP(A11,Contracts!$A$4:$J$15,10,FALSE),0)</f>
        <v>5</v>
      </c>
      <c r="F11">
        <f>IFERROR(VLOOKUP(A11,Contracts!$A$4:$J$15,6,FALSE),0)</f>
        <v>1</v>
      </c>
      <c r="G11">
        <f>IFERROR(VLOOKUP(A11,Contracts!$A$4:$J$15,4,FALSE),0)</f>
        <v>4500</v>
      </c>
      <c r="H11">
        <f>IFERROR(VLOOKUP(D11,Settings!$A$4:$B$10,2,FALSE),1)</f>
        <v>1</v>
      </c>
      <c r="I11">
        <f>IFERROR(VLOOKUP(B11,'Supply Catalog'!$A$4:$J$13,5,FALSE),0)</f>
        <v>0.04</v>
      </c>
      <c r="J11" s="7">
        <f>ROUNDUP(E11*((I11*H11)+(G11*IFERROR(VLOOKUP(B11,'Supply Catalog'!$A$4:$J$13,6,FALSE),0))+(F11*IFERROR(VLOOKUP(B11,'Supply Catalog'!$A$4:$J$13,7,FALSE),0))),1)</f>
        <v>0.4</v>
      </c>
      <c r="K11" s="7">
        <f t="shared" si="0"/>
        <v>1.8</v>
      </c>
      <c r="L11" t="str">
        <f>IFERROR(VLOOKUP(A11,Contracts!$A$4:$J$15,7,FALSE),"")</f>
        <v>High</v>
      </c>
    </row>
    <row r="12" spans="1:26">
      <c r="A12" t="s">
        <v>75</v>
      </c>
      <c r="B12" t="s">
        <v>208</v>
      </c>
      <c r="C12" t="s">
        <v>209</v>
      </c>
      <c r="D12" t="str">
        <f>IFERROR(VLOOKUP(A12,Contracts!$A$4:$J$15,3,FALSE),"")</f>
        <v>Office</v>
      </c>
      <c r="E12">
        <f>IFERROR(VLOOKUP(A12,Contracts!$A$4:$J$15,10,FALSE),0)</f>
        <v>5</v>
      </c>
      <c r="F12">
        <f>IFERROR(VLOOKUP(A12,Contracts!$A$4:$J$15,6,FALSE),0)</f>
        <v>1</v>
      </c>
      <c r="G12">
        <f>IFERROR(VLOOKUP(A12,Contracts!$A$4:$J$15,4,FALSE),0)</f>
        <v>4500</v>
      </c>
      <c r="H12">
        <f>IFERROR(VLOOKUP(D12,Settings!$A$4:$B$10,2,FALSE),1)</f>
        <v>1</v>
      </c>
      <c r="I12">
        <f>IFERROR(VLOOKUP(B12,'Supply Catalog'!$A$4:$J$13,5,FALSE),0)</f>
        <v>0.1</v>
      </c>
      <c r="J12" s="7">
        <f>ROUNDUP(E12*((I12*H12)+(G12*IFERROR(VLOOKUP(B12,'Supply Catalog'!$A$4:$J$13,6,FALSE),0))+(F12*IFERROR(VLOOKUP(B12,'Supply Catalog'!$A$4:$J$13,7,FALSE),0))),1)</f>
        <v>1.2000000000000002</v>
      </c>
      <c r="K12" s="7">
        <f t="shared" si="0"/>
        <v>5.1999999999999993</v>
      </c>
      <c r="L12" t="str">
        <f>IFERROR(VLOOKUP(A12,Contracts!$A$4:$J$15,7,FALSE),"")</f>
        <v>High</v>
      </c>
    </row>
    <row r="13" spans="1:26">
      <c r="A13" t="s">
        <v>75</v>
      </c>
      <c r="B13" t="s">
        <v>211</v>
      </c>
      <c r="C13" t="s">
        <v>212</v>
      </c>
      <c r="D13" t="str">
        <f>IFERROR(VLOOKUP(A13,Contracts!$A$4:$J$15,3,FALSE),"")</f>
        <v>Office</v>
      </c>
      <c r="E13">
        <f>IFERROR(VLOOKUP(A13,Contracts!$A$4:$J$15,10,FALSE),0)</f>
        <v>5</v>
      </c>
      <c r="F13">
        <f>IFERROR(VLOOKUP(A13,Contracts!$A$4:$J$15,6,FALSE),0)</f>
        <v>1</v>
      </c>
      <c r="G13">
        <f>IFERROR(VLOOKUP(A13,Contracts!$A$4:$J$15,4,FALSE),0)</f>
        <v>4500</v>
      </c>
      <c r="H13">
        <f>IFERROR(VLOOKUP(D13,Settings!$A$4:$B$10,2,FALSE),1)</f>
        <v>1</v>
      </c>
      <c r="I13">
        <f>IFERROR(VLOOKUP(B13,'Supply Catalog'!$A$4:$J$13,5,FALSE),0)</f>
        <v>0.1</v>
      </c>
      <c r="J13" s="7">
        <f>ROUNDUP(E13*((I13*H13)+(G13*IFERROR(VLOOKUP(B13,'Supply Catalog'!$A$4:$J$13,6,FALSE),0))+(F13*IFERROR(VLOOKUP(B13,'Supply Catalog'!$A$4:$J$13,7,FALSE),0))),1)</f>
        <v>1</v>
      </c>
      <c r="K13" s="7">
        <f t="shared" si="0"/>
        <v>4.3999999999999995</v>
      </c>
      <c r="L13" t="str">
        <f>IFERROR(VLOOKUP(A13,Contracts!$A$4:$J$15,7,FALSE),"")</f>
        <v>High</v>
      </c>
    </row>
    <row r="14" spans="1:26">
      <c r="A14" t="s">
        <v>81</v>
      </c>
      <c r="B14" t="s">
        <v>173</v>
      </c>
      <c r="C14" t="s">
        <v>174</v>
      </c>
      <c r="D14" t="str">
        <f>IFERROR(VLOOKUP(A14,Contracts!$A$4:$J$15,3,FALSE),"")</f>
        <v>Education</v>
      </c>
      <c r="E14">
        <f>IFERROR(VLOOKUP(A14,Contracts!$A$4:$J$15,10,FALSE),0)</f>
        <v>5</v>
      </c>
      <c r="F14">
        <f>IFERROR(VLOOKUP(A14,Contracts!$A$4:$J$15,6,FALSE),0)</f>
        <v>2</v>
      </c>
      <c r="G14">
        <f>IFERROR(VLOOKUP(A14,Contracts!$A$4:$J$15,4,FALSE),0)</f>
        <v>52000</v>
      </c>
      <c r="H14">
        <f>IFERROR(VLOOKUP(D14,Settings!$A$4:$B$10,2,FALSE),1)</f>
        <v>2</v>
      </c>
      <c r="I14">
        <f>IFERROR(VLOOKUP(B14,'Supply Catalog'!$A$4:$J$13,5,FALSE),0)</f>
        <v>0.18</v>
      </c>
      <c r="J14" s="7">
        <f>ROUNDUP(E14*((I14*H14)+(G14*IFERROR(VLOOKUP(B14,'Supply Catalog'!$A$4:$J$13,6,FALSE),0))+(F14*IFERROR(VLOOKUP(B14,'Supply Catalog'!$A$4:$J$13,7,FALSE),0))),1)</f>
        <v>6.2</v>
      </c>
      <c r="K14" s="7">
        <f t="shared" si="0"/>
        <v>26.900000000000002</v>
      </c>
      <c r="L14" t="str">
        <f>IFERROR(VLOOKUP(A14,Contracts!$A$4:$J$15,7,FALSE),"")</f>
        <v>High</v>
      </c>
    </row>
    <row r="15" spans="1:26">
      <c r="A15" t="s">
        <v>81</v>
      </c>
      <c r="B15" t="s">
        <v>179</v>
      </c>
      <c r="C15" t="s">
        <v>180</v>
      </c>
      <c r="D15" t="str">
        <f>IFERROR(VLOOKUP(A15,Contracts!$A$4:$J$15,3,FALSE),"")</f>
        <v>Education</v>
      </c>
      <c r="E15">
        <f>IFERROR(VLOOKUP(A15,Contracts!$A$4:$J$15,10,FALSE),0)</f>
        <v>5</v>
      </c>
      <c r="F15">
        <f>IFERROR(VLOOKUP(A15,Contracts!$A$4:$J$15,6,FALSE),0)</f>
        <v>2</v>
      </c>
      <c r="G15">
        <f>IFERROR(VLOOKUP(A15,Contracts!$A$4:$J$15,4,FALSE),0)</f>
        <v>52000</v>
      </c>
      <c r="H15">
        <f>IFERROR(VLOOKUP(D15,Settings!$A$4:$B$10,2,FALSE),1)</f>
        <v>2</v>
      </c>
      <c r="I15">
        <f>IFERROR(VLOOKUP(B15,'Supply Catalog'!$A$4:$J$13,5,FALSE),0)</f>
        <v>0.45</v>
      </c>
      <c r="J15" s="7">
        <f>ROUNDUP(E15*((I15*H15)+(G15*IFERROR(VLOOKUP(B15,'Supply Catalog'!$A$4:$J$13,6,FALSE),0))+(F15*IFERROR(VLOOKUP(B15,'Supply Catalog'!$A$4:$J$13,7,FALSE),0))),1)</f>
        <v>6.8</v>
      </c>
      <c r="K15" s="7">
        <f t="shared" si="0"/>
        <v>29.5</v>
      </c>
      <c r="L15" t="str">
        <f>IFERROR(VLOOKUP(A15,Contracts!$A$4:$J$15,7,FALSE),"")</f>
        <v>High</v>
      </c>
    </row>
    <row r="16" spans="1:26">
      <c r="A16" t="s">
        <v>81</v>
      </c>
      <c r="B16" t="s">
        <v>184</v>
      </c>
      <c r="C16" t="s">
        <v>185</v>
      </c>
      <c r="D16" t="str">
        <f>IFERROR(VLOOKUP(A16,Contracts!$A$4:$J$15,3,FALSE),"")</f>
        <v>Education</v>
      </c>
      <c r="E16">
        <f>IFERROR(VLOOKUP(A16,Contracts!$A$4:$J$15,10,FALSE),0)</f>
        <v>5</v>
      </c>
      <c r="F16">
        <f>IFERROR(VLOOKUP(A16,Contracts!$A$4:$J$15,6,FALSE),0)</f>
        <v>2</v>
      </c>
      <c r="G16">
        <f>IFERROR(VLOOKUP(A16,Contracts!$A$4:$J$15,4,FALSE),0)</f>
        <v>52000</v>
      </c>
      <c r="H16">
        <f>IFERROR(VLOOKUP(D16,Settings!$A$4:$B$10,2,FALSE),1)</f>
        <v>2</v>
      </c>
      <c r="I16">
        <f>IFERROR(VLOOKUP(B16,'Supply Catalog'!$A$4:$J$13,5,FALSE),0)</f>
        <v>0.12</v>
      </c>
      <c r="J16" s="7">
        <f>ROUNDUP(E16*((I16*H16)+(G16*IFERROR(VLOOKUP(B16,'Supply Catalog'!$A$4:$J$13,6,FALSE),0))+(F16*IFERROR(VLOOKUP(B16,'Supply Catalog'!$A$4:$J$13,7,FALSE),0))),1)</f>
        <v>6.8</v>
      </c>
      <c r="K16" s="7">
        <f t="shared" si="0"/>
        <v>29.5</v>
      </c>
      <c r="L16" t="str">
        <f>IFERROR(VLOOKUP(A16,Contracts!$A$4:$J$15,7,FALSE),"")</f>
        <v>High</v>
      </c>
    </row>
    <row r="17" spans="1:12">
      <c r="A17" t="s">
        <v>81</v>
      </c>
      <c r="B17" t="s">
        <v>190</v>
      </c>
      <c r="C17" t="s">
        <v>191</v>
      </c>
      <c r="D17" t="str">
        <f>IFERROR(VLOOKUP(A17,Contracts!$A$4:$J$15,3,FALSE),"")</f>
        <v>Education</v>
      </c>
      <c r="E17">
        <f>IFERROR(VLOOKUP(A17,Contracts!$A$4:$J$15,10,FALSE),0)</f>
        <v>5</v>
      </c>
      <c r="F17">
        <f>IFERROR(VLOOKUP(A17,Contracts!$A$4:$J$15,6,FALSE),0)</f>
        <v>2</v>
      </c>
      <c r="G17">
        <f>IFERROR(VLOOKUP(A17,Contracts!$A$4:$J$15,4,FALSE),0)</f>
        <v>52000</v>
      </c>
      <c r="H17">
        <f>IFERROR(VLOOKUP(D17,Settings!$A$4:$B$10,2,FALSE),1)</f>
        <v>2</v>
      </c>
      <c r="I17">
        <f>IFERROR(VLOOKUP(B17,'Supply Catalog'!$A$4:$J$13,5,FALSE),0)</f>
        <v>0.08</v>
      </c>
      <c r="J17" s="7">
        <f>ROUNDUP(E17*((I17*H17)+(G17*IFERROR(VLOOKUP(B17,'Supply Catalog'!$A$4:$J$13,6,FALSE),0))+(F17*IFERROR(VLOOKUP(B17,'Supply Catalog'!$A$4:$J$13,7,FALSE),0))),1)</f>
        <v>3.7</v>
      </c>
      <c r="K17" s="7">
        <f t="shared" si="0"/>
        <v>16.100000000000001</v>
      </c>
      <c r="L17" t="str">
        <f>IFERROR(VLOOKUP(A17,Contracts!$A$4:$J$15,7,FALSE),"")</f>
        <v>High</v>
      </c>
    </row>
    <row r="18" spans="1:12">
      <c r="A18" t="s">
        <v>81</v>
      </c>
      <c r="B18" t="s">
        <v>193</v>
      </c>
      <c r="C18" t="s">
        <v>194</v>
      </c>
      <c r="D18" t="str">
        <f>IFERROR(VLOOKUP(A18,Contracts!$A$4:$J$15,3,FALSE),"")</f>
        <v>Education</v>
      </c>
      <c r="E18">
        <f>IFERROR(VLOOKUP(A18,Contracts!$A$4:$J$15,10,FALSE),0)</f>
        <v>5</v>
      </c>
      <c r="F18">
        <f>IFERROR(VLOOKUP(A18,Contracts!$A$4:$J$15,6,FALSE),0)</f>
        <v>2</v>
      </c>
      <c r="G18">
        <f>IFERROR(VLOOKUP(A18,Contracts!$A$4:$J$15,4,FALSE),0)</f>
        <v>52000</v>
      </c>
      <c r="H18">
        <f>IFERROR(VLOOKUP(D18,Settings!$A$4:$B$10,2,FALSE),1)</f>
        <v>2</v>
      </c>
      <c r="I18">
        <f>IFERROR(VLOOKUP(B18,'Supply Catalog'!$A$4:$J$13,5,FALSE),0)</f>
        <v>0.2</v>
      </c>
      <c r="J18" s="7">
        <f>ROUNDUP(E18*((I18*H18)+(G18*IFERROR(VLOOKUP(B18,'Supply Catalog'!$A$4:$J$13,6,FALSE),0))+(F18*IFERROR(VLOOKUP(B18,'Supply Catalog'!$A$4:$J$13,7,FALSE),0))),1)</f>
        <v>7.6</v>
      </c>
      <c r="K18" s="7">
        <f t="shared" si="0"/>
        <v>33</v>
      </c>
      <c r="L18" t="str">
        <f>IFERROR(VLOOKUP(A18,Contracts!$A$4:$J$15,7,FALSE),"")</f>
        <v>High</v>
      </c>
    </row>
    <row r="19" spans="1:12">
      <c r="A19" t="s">
        <v>81</v>
      </c>
      <c r="B19" t="s">
        <v>197</v>
      </c>
      <c r="C19" t="s">
        <v>198</v>
      </c>
      <c r="D19" t="str">
        <f>IFERROR(VLOOKUP(A19,Contracts!$A$4:$J$15,3,FALSE),"")</f>
        <v>Education</v>
      </c>
      <c r="E19">
        <f>IFERROR(VLOOKUP(A19,Contracts!$A$4:$J$15,10,FALSE),0)</f>
        <v>5</v>
      </c>
      <c r="F19">
        <f>IFERROR(VLOOKUP(A19,Contracts!$A$4:$J$15,6,FALSE),0)</f>
        <v>2</v>
      </c>
      <c r="G19">
        <f>IFERROR(VLOOKUP(A19,Contracts!$A$4:$J$15,4,FALSE),0)</f>
        <v>52000</v>
      </c>
      <c r="H19">
        <f>IFERROR(VLOOKUP(D19,Settings!$A$4:$B$10,2,FALSE),1)</f>
        <v>2</v>
      </c>
      <c r="I19">
        <f>IFERROR(VLOOKUP(B19,'Supply Catalog'!$A$4:$J$13,5,FALSE),0)</f>
        <v>0.16</v>
      </c>
      <c r="J19" s="7">
        <f>ROUNDUP(E19*((I19*H19)+(G19*IFERROR(VLOOKUP(B19,'Supply Catalog'!$A$4:$J$13,6,FALSE),0))+(F19*IFERROR(VLOOKUP(B19,'Supply Catalog'!$A$4:$J$13,7,FALSE),0))),1)</f>
        <v>6.6999999999999993</v>
      </c>
      <c r="K19" s="7">
        <f t="shared" si="0"/>
        <v>29.1</v>
      </c>
      <c r="L19" t="str">
        <f>IFERROR(VLOOKUP(A19,Contracts!$A$4:$J$15,7,FALSE),"")</f>
        <v>High</v>
      </c>
    </row>
    <row r="20" spans="1:12">
      <c r="A20" t="s">
        <v>81</v>
      </c>
      <c r="B20" t="s">
        <v>199</v>
      </c>
      <c r="C20" t="s">
        <v>200</v>
      </c>
      <c r="D20" t="str">
        <f>IFERROR(VLOOKUP(A20,Contracts!$A$4:$J$15,3,FALSE),"")</f>
        <v>Education</v>
      </c>
      <c r="E20">
        <f>IFERROR(VLOOKUP(A20,Contracts!$A$4:$J$15,10,FALSE),0)</f>
        <v>5</v>
      </c>
      <c r="F20">
        <f>IFERROR(VLOOKUP(A20,Contracts!$A$4:$J$15,6,FALSE),0)</f>
        <v>2</v>
      </c>
      <c r="G20">
        <f>IFERROR(VLOOKUP(A20,Contracts!$A$4:$J$15,4,FALSE),0)</f>
        <v>52000</v>
      </c>
      <c r="H20">
        <f>IFERROR(VLOOKUP(D20,Settings!$A$4:$B$10,2,FALSE),1)</f>
        <v>2</v>
      </c>
      <c r="I20">
        <f>IFERROR(VLOOKUP(B20,'Supply Catalog'!$A$4:$J$13,5,FALSE),0)</f>
        <v>0.06</v>
      </c>
      <c r="J20" s="7">
        <f>ROUNDUP(E20*((I20*H20)+(G20*IFERROR(VLOOKUP(B20,'Supply Catalog'!$A$4:$J$13,6,FALSE),0))+(F20*IFERROR(VLOOKUP(B20,'Supply Catalog'!$A$4:$J$13,7,FALSE),0))),1)</f>
        <v>2.7</v>
      </c>
      <c r="K20" s="7">
        <f t="shared" si="0"/>
        <v>11.7</v>
      </c>
      <c r="L20" t="str">
        <f>IFERROR(VLOOKUP(A20,Contracts!$A$4:$J$15,7,FALSE),"")</f>
        <v>High</v>
      </c>
    </row>
    <row r="21" spans="1:12">
      <c r="A21" t="s">
        <v>81</v>
      </c>
      <c r="B21" t="s">
        <v>204</v>
      </c>
      <c r="C21" t="s">
        <v>205</v>
      </c>
      <c r="D21" t="str">
        <f>IFERROR(VLOOKUP(A21,Contracts!$A$4:$J$15,3,FALSE),"")</f>
        <v>Education</v>
      </c>
      <c r="E21">
        <f>IFERROR(VLOOKUP(A21,Contracts!$A$4:$J$15,10,FALSE),0)</f>
        <v>5</v>
      </c>
      <c r="F21">
        <f>IFERROR(VLOOKUP(A21,Contracts!$A$4:$J$15,6,FALSE),0)</f>
        <v>2</v>
      </c>
      <c r="G21">
        <f>IFERROR(VLOOKUP(A21,Contracts!$A$4:$J$15,4,FALSE),0)</f>
        <v>52000</v>
      </c>
      <c r="H21">
        <f>IFERROR(VLOOKUP(D21,Settings!$A$4:$B$10,2,FALSE),1)</f>
        <v>2</v>
      </c>
      <c r="I21">
        <f>IFERROR(VLOOKUP(B21,'Supply Catalog'!$A$4:$J$13,5,FALSE),0)</f>
        <v>0.04</v>
      </c>
      <c r="J21" s="7">
        <f>ROUNDUP(E21*((I21*H21)+(G21*IFERROR(VLOOKUP(B21,'Supply Catalog'!$A$4:$J$13,6,FALSE),0))+(F21*IFERROR(VLOOKUP(B21,'Supply Catalog'!$A$4:$J$13,7,FALSE),0))),1)</f>
        <v>1.7000000000000002</v>
      </c>
      <c r="K21" s="7">
        <f t="shared" si="0"/>
        <v>7.3999999999999995</v>
      </c>
      <c r="L21" t="str">
        <f>IFERROR(VLOOKUP(A21,Contracts!$A$4:$J$15,7,FALSE),"")</f>
        <v>High</v>
      </c>
    </row>
    <row r="22" spans="1:12">
      <c r="A22" t="s">
        <v>81</v>
      </c>
      <c r="B22" t="s">
        <v>208</v>
      </c>
      <c r="C22" t="s">
        <v>209</v>
      </c>
      <c r="D22" t="str">
        <f>IFERROR(VLOOKUP(A22,Contracts!$A$4:$J$15,3,FALSE),"")</f>
        <v>Education</v>
      </c>
      <c r="E22">
        <f>IFERROR(VLOOKUP(A22,Contracts!$A$4:$J$15,10,FALSE),0)</f>
        <v>5</v>
      </c>
      <c r="F22">
        <f>IFERROR(VLOOKUP(A22,Contracts!$A$4:$J$15,6,FALSE),0)</f>
        <v>2</v>
      </c>
      <c r="G22">
        <f>IFERROR(VLOOKUP(A22,Contracts!$A$4:$J$15,4,FALSE),0)</f>
        <v>52000</v>
      </c>
      <c r="H22">
        <f>IFERROR(VLOOKUP(D22,Settings!$A$4:$B$10,2,FALSE),1)</f>
        <v>2</v>
      </c>
      <c r="I22">
        <f>IFERROR(VLOOKUP(B22,'Supply Catalog'!$A$4:$J$13,5,FALSE),0)</f>
        <v>0.1</v>
      </c>
      <c r="J22" s="7">
        <f>ROUNDUP(E22*((I22*H22)+(G22*IFERROR(VLOOKUP(B22,'Supply Catalog'!$A$4:$J$13,6,FALSE),0))+(F22*IFERROR(VLOOKUP(B22,'Supply Catalog'!$A$4:$J$13,7,FALSE),0))),1)</f>
        <v>6.1</v>
      </c>
      <c r="K22" s="7">
        <f t="shared" si="0"/>
        <v>26.5</v>
      </c>
      <c r="L22" t="str">
        <f>IFERROR(VLOOKUP(A22,Contracts!$A$4:$J$15,7,FALSE),"")</f>
        <v>High</v>
      </c>
    </row>
    <row r="23" spans="1:12">
      <c r="A23" t="s">
        <v>81</v>
      </c>
      <c r="B23" t="s">
        <v>211</v>
      </c>
      <c r="C23" t="s">
        <v>212</v>
      </c>
      <c r="D23" t="str">
        <f>IFERROR(VLOOKUP(A23,Contracts!$A$4:$J$15,3,FALSE),"")</f>
        <v>Education</v>
      </c>
      <c r="E23">
        <f>IFERROR(VLOOKUP(A23,Contracts!$A$4:$J$15,10,FALSE),0)</f>
        <v>5</v>
      </c>
      <c r="F23">
        <f>IFERROR(VLOOKUP(A23,Contracts!$A$4:$J$15,6,FALSE),0)</f>
        <v>2</v>
      </c>
      <c r="G23">
        <f>IFERROR(VLOOKUP(A23,Contracts!$A$4:$J$15,4,FALSE),0)</f>
        <v>52000</v>
      </c>
      <c r="H23">
        <f>IFERROR(VLOOKUP(D23,Settings!$A$4:$B$10,2,FALSE),1)</f>
        <v>2</v>
      </c>
      <c r="I23">
        <f>IFERROR(VLOOKUP(B23,'Supply Catalog'!$A$4:$J$13,5,FALSE),0)</f>
        <v>0.1</v>
      </c>
      <c r="J23" s="7">
        <f>ROUNDUP(E23*((I23*H23)+(G23*IFERROR(VLOOKUP(B23,'Supply Catalog'!$A$4:$J$13,6,FALSE),0))+(F23*IFERROR(VLOOKUP(B23,'Supply Catalog'!$A$4:$J$13,7,FALSE),0))),1)</f>
        <v>4.5</v>
      </c>
      <c r="K23" s="7">
        <f t="shared" si="0"/>
        <v>19.5</v>
      </c>
      <c r="L23" t="str">
        <f>IFERROR(VLOOKUP(A23,Contracts!$A$4:$J$15,7,FALSE),"")</f>
        <v>High</v>
      </c>
    </row>
    <row r="24" spans="1:12">
      <c r="A24" t="s">
        <v>85</v>
      </c>
      <c r="B24" t="s">
        <v>173</v>
      </c>
      <c r="C24" t="s">
        <v>174</v>
      </c>
      <c r="D24" t="str">
        <f>IFERROR(VLOOKUP(A24,Contracts!$A$4:$J$15,3,FALSE),"")</f>
        <v>Office</v>
      </c>
      <c r="E24">
        <f>IFERROR(VLOOKUP(A24,Contracts!$A$4:$J$15,10,FALSE),0)</f>
        <v>5</v>
      </c>
      <c r="F24">
        <f>IFERROR(VLOOKUP(A24,Contracts!$A$4:$J$15,6,FALSE),0)</f>
        <v>2</v>
      </c>
      <c r="G24">
        <f>IFERROR(VLOOKUP(A24,Contracts!$A$4:$J$15,4,FALSE),0)</f>
        <v>18000</v>
      </c>
      <c r="H24">
        <f>IFERROR(VLOOKUP(D24,Settings!$A$4:$B$10,2,FALSE),1)</f>
        <v>1</v>
      </c>
      <c r="I24">
        <f>IFERROR(VLOOKUP(B24,'Supply Catalog'!$A$4:$J$13,5,FALSE),0)</f>
        <v>0.18</v>
      </c>
      <c r="J24" s="7">
        <f>ROUNDUP(E24*((I24*H24)+(G24*IFERROR(VLOOKUP(B24,'Supply Catalog'!$A$4:$J$13,6,FALSE),0))+(F24*IFERROR(VLOOKUP(B24,'Supply Catalog'!$A$4:$J$13,7,FALSE),0))),1)</f>
        <v>2.8000000000000003</v>
      </c>
      <c r="K24" s="7">
        <f t="shared" si="0"/>
        <v>12.2</v>
      </c>
      <c r="L24" t="str">
        <f>IFERROR(VLOOKUP(A24,Contracts!$A$4:$J$15,7,FALSE),"")</f>
        <v>Normal</v>
      </c>
    </row>
    <row r="25" spans="1:12">
      <c r="A25" t="s">
        <v>85</v>
      </c>
      <c r="B25" t="s">
        <v>179</v>
      </c>
      <c r="C25" t="s">
        <v>180</v>
      </c>
      <c r="D25" t="str">
        <f>IFERROR(VLOOKUP(A25,Contracts!$A$4:$J$15,3,FALSE),"")</f>
        <v>Office</v>
      </c>
      <c r="E25">
        <f>IFERROR(VLOOKUP(A25,Contracts!$A$4:$J$15,10,FALSE),0)</f>
        <v>5</v>
      </c>
      <c r="F25">
        <f>IFERROR(VLOOKUP(A25,Contracts!$A$4:$J$15,6,FALSE),0)</f>
        <v>2</v>
      </c>
      <c r="G25">
        <f>IFERROR(VLOOKUP(A25,Contracts!$A$4:$J$15,4,FALSE),0)</f>
        <v>18000</v>
      </c>
      <c r="H25">
        <f>IFERROR(VLOOKUP(D25,Settings!$A$4:$B$10,2,FALSE),1)</f>
        <v>1</v>
      </c>
      <c r="I25">
        <f>IFERROR(VLOOKUP(B25,'Supply Catalog'!$A$4:$J$13,5,FALSE),0)</f>
        <v>0.45</v>
      </c>
      <c r="J25" s="7">
        <f>ROUNDUP(E25*((I25*H25)+(G25*IFERROR(VLOOKUP(B25,'Supply Catalog'!$A$4:$J$13,6,FALSE),0))+(F25*IFERROR(VLOOKUP(B25,'Supply Catalog'!$A$4:$J$13,7,FALSE),0))),1)</f>
        <v>3.7</v>
      </c>
      <c r="K25" s="7">
        <f t="shared" si="0"/>
        <v>16.100000000000001</v>
      </c>
      <c r="L25" t="str">
        <f>IFERROR(VLOOKUP(A25,Contracts!$A$4:$J$15,7,FALSE),"")</f>
        <v>Normal</v>
      </c>
    </row>
    <row r="26" spans="1:12">
      <c r="A26" t="s">
        <v>85</v>
      </c>
      <c r="B26" t="s">
        <v>184</v>
      </c>
      <c r="C26" t="s">
        <v>185</v>
      </c>
      <c r="D26" t="str">
        <f>IFERROR(VLOOKUP(A26,Contracts!$A$4:$J$15,3,FALSE),"")</f>
        <v>Office</v>
      </c>
      <c r="E26">
        <f>IFERROR(VLOOKUP(A26,Contracts!$A$4:$J$15,10,FALSE),0)</f>
        <v>5</v>
      </c>
      <c r="F26">
        <f>IFERROR(VLOOKUP(A26,Contracts!$A$4:$J$15,6,FALSE),0)</f>
        <v>2</v>
      </c>
      <c r="G26">
        <f>IFERROR(VLOOKUP(A26,Contracts!$A$4:$J$15,4,FALSE),0)</f>
        <v>18000</v>
      </c>
      <c r="H26">
        <f>IFERROR(VLOOKUP(D26,Settings!$A$4:$B$10,2,FALSE),1)</f>
        <v>1</v>
      </c>
      <c r="I26">
        <f>IFERROR(VLOOKUP(B26,'Supply Catalog'!$A$4:$J$13,5,FALSE),0)</f>
        <v>0.12</v>
      </c>
      <c r="J26" s="7">
        <f>ROUNDUP(E26*((I26*H26)+(G26*IFERROR(VLOOKUP(B26,'Supply Catalog'!$A$4:$J$13,6,FALSE),0))+(F26*IFERROR(VLOOKUP(B26,'Supply Catalog'!$A$4:$J$13,7,FALSE),0))),1)</f>
        <v>2.8</v>
      </c>
      <c r="K26" s="7">
        <f t="shared" si="0"/>
        <v>12.2</v>
      </c>
      <c r="L26" t="str">
        <f>IFERROR(VLOOKUP(A26,Contracts!$A$4:$J$15,7,FALSE),"")</f>
        <v>Normal</v>
      </c>
    </row>
    <row r="27" spans="1:12">
      <c r="A27" t="s">
        <v>85</v>
      </c>
      <c r="B27" t="s">
        <v>190</v>
      </c>
      <c r="C27" t="s">
        <v>191</v>
      </c>
      <c r="D27" t="str">
        <f>IFERROR(VLOOKUP(A27,Contracts!$A$4:$J$15,3,FALSE),"")</f>
        <v>Office</v>
      </c>
      <c r="E27">
        <f>IFERROR(VLOOKUP(A27,Contracts!$A$4:$J$15,10,FALSE),0)</f>
        <v>5</v>
      </c>
      <c r="F27">
        <f>IFERROR(VLOOKUP(A27,Contracts!$A$4:$J$15,6,FALSE),0)</f>
        <v>2</v>
      </c>
      <c r="G27">
        <f>IFERROR(VLOOKUP(A27,Contracts!$A$4:$J$15,4,FALSE),0)</f>
        <v>18000</v>
      </c>
      <c r="H27">
        <f>IFERROR(VLOOKUP(D27,Settings!$A$4:$B$10,2,FALSE),1)</f>
        <v>1</v>
      </c>
      <c r="I27">
        <f>IFERROR(VLOOKUP(B27,'Supply Catalog'!$A$4:$J$13,5,FALSE),0)</f>
        <v>0.08</v>
      </c>
      <c r="J27" s="7">
        <f>ROUNDUP(E27*((I27*H27)+(G27*IFERROR(VLOOKUP(B27,'Supply Catalog'!$A$4:$J$13,6,FALSE),0))+(F27*IFERROR(VLOOKUP(B27,'Supply Catalog'!$A$4:$J$13,7,FALSE),0))),1)</f>
        <v>1.6</v>
      </c>
      <c r="K27" s="7">
        <f t="shared" si="0"/>
        <v>7</v>
      </c>
      <c r="L27" t="str">
        <f>IFERROR(VLOOKUP(A27,Contracts!$A$4:$J$15,7,FALSE),"")</f>
        <v>Normal</v>
      </c>
    </row>
    <row r="28" spans="1:12">
      <c r="A28" t="s">
        <v>85</v>
      </c>
      <c r="B28" t="s">
        <v>193</v>
      </c>
      <c r="C28" t="s">
        <v>194</v>
      </c>
      <c r="D28" t="str">
        <f>IFERROR(VLOOKUP(A28,Contracts!$A$4:$J$15,3,FALSE),"")</f>
        <v>Office</v>
      </c>
      <c r="E28">
        <f>IFERROR(VLOOKUP(A28,Contracts!$A$4:$J$15,10,FALSE),0)</f>
        <v>5</v>
      </c>
      <c r="F28">
        <f>IFERROR(VLOOKUP(A28,Contracts!$A$4:$J$15,6,FALSE),0)</f>
        <v>2</v>
      </c>
      <c r="G28">
        <f>IFERROR(VLOOKUP(A28,Contracts!$A$4:$J$15,4,FALSE),0)</f>
        <v>18000</v>
      </c>
      <c r="H28">
        <f>IFERROR(VLOOKUP(D28,Settings!$A$4:$B$10,2,FALSE),1)</f>
        <v>1</v>
      </c>
      <c r="I28">
        <f>IFERROR(VLOOKUP(B28,'Supply Catalog'!$A$4:$J$13,5,FALSE),0)</f>
        <v>0.2</v>
      </c>
      <c r="J28" s="7">
        <f>ROUNDUP(E28*((I28*H28)+(G28*IFERROR(VLOOKUP(B28,'Supply Catalog'!$A$4:$J$13,6,FALSE),0))+(F28*IFERROR(VLOOKUP(B28,'Supply Catalog'!$A$4:$J$13,7,FALSE),0))),1)</f>
        <v>3.2</v>
      </c>
      <c r="K28" s="7">
        <f t="shared" si="0"/>
        <v>13.9</v>
      </c>
      <c r="L28" t="str">
        <f>IFERROR(VLOOKUP(A28,Contracts!$A$4:$J$15,7,FALSE),"")</f>
        <v>Normal</v>
      </c>
    </row>
    <row r="29" spans="1:12">
      <c r="A29" t="s">
        <v>85</v>
      </c>
      <c r="B29" t="s">
        <v>197</v>
      </c>
      <c r="C29" t="s">
        <v>198</v>
      </c>
      <c r="D29" t="str">
        <f>IFERROR(VLOOKUP(A29,Contracts!$A$4:$J$15,3,FALSE),"")</f>
        <v>Office</v>
      </c>
      <c r="E29">
        <f>IFERROR(VLOOKUP(A29,Contracts!$A$4:$J$15,10,FALSE),0)</f>
        <v>5</v>
      </c>
      <c r="F29">
        <f>IFERROR(VLOOKUP(A29,Contracts!$A$4:$J$15,6,FALSE),0)</f>
        <v>2</v>
      </c>
      <c r="G29">
        <f>IFERROR(VLOOKUP(A29,Contracts!$A$4:$J$15,4,FALSE),0)</f>
        <v>18000</v>
      </c>
      <c r="H29">
        <f>IFERROR(VLOOKUP(D29,Settings!$A$4:$B$10,2,FALSE),1)</f>
        <v>1</v>
      </c>
      <c r="I29">
        <f>IFERROR(VLOOKUP(B29,'Supply Catalog'!$A$4:$J$13,5,FALSE),0)</f>
        <v>0.16</v>
      </c>
      <c r="J29" s="7">
        <f>ROUNDUP(E29*((I29*H29)+(G29*IFERROR(VLOOKUP(B29,'Supply Catalog'!$A$4:$J$13,6,FALSE),0))+(F29*IFERROR(VLOOKUP(B29,'Supply Catalog'!$A$4:$J$13,7,FALSE),0))),1)</f>
        <v>2.9</v>
      </c>
      <c r="K29" s="7">
        <f t="shared" si="0"/>
        <v>12.6</v>
      </c>
      <c r="L29" t="str">
        <f>IFERROR(VLOOKUP(A29,Contracts!$A$4:$J$15,7,FALSE),"")</f>
        <v>Normal</v>
      </c>
    </row>
    <row r="30" spans="1:12">
      <c r="A30" t="s">
        <v>85</v>
      </c>
      <c r="B30" t="s">
        <v>199</v>
      </c>
      <c r="C30" t="s">
        <v>200</v>
      </c>
      <c r="D30" t="str">
        <f>IFERROR(VLOOKUP(A30,Contracts!$A$4:$J$15,3,FALSE),"")</f>
        <v>Office</v>
      </c>
      <c r="E30">
        <f>IFERROR(VLOOKUP(A30,Contracts!$A$4:$J$15,10,FALSE),0)</f>
        <v>5</v>
      </c>
      <c r="F30">
        <f>IFERROR(VLOOKUP(A30,Contracts!$A$4:$J$15,6,FALSE),0)</f>
        <v>2</v>
      </c>
      <c r="G30">
        <f>IFERROR(VLOOKUP(A30,Contracts!$A$4:$J$15,4,FALSE),0)</f>
        <v>18000</v>
      </c>
      <c r="H30">
        <f>IFERROR(VLOOKUP(D30,Settings!$A$4:$B$10,2,FALSE),1)</f>
        <v>1</v>
      </c>
      <c r="I30">
        <f>IFERROR(VLOOKUP(B30,'Supply Catalog'!$A$4:$J$13,5,FALSE),0)</f>
        <v>0.06</v>
      </c>
      <c r="J30" s="7">
        <f>ROUNDUP(E30*((I30*H30)+(G30*IFERROR(VLOOKUP(B30,'Supply Catalog'!$A$4:$J$13,6,FALSE),0))+(F30*IFERROR(VLOOKUP(B30,'Supply Catalog'!$A$4:$J$13,7,FALSE),0))),1)</f>
        <v>1.4000000000000001</v>
      </c>
      <c r="K30" s="7">
        <f t="shared" si="0"/>
        <v>6.1</v>
      </c>
      <c r="L30" t="str">
        <f>IFERROR(VLOOKUP(A30,Contracts!$A$4:$J$15,7,FALSE),"")</f>
        <v>Normal</v>
      </c>
    </row>
    <row r="31" spans="1:12">
      <c r="A31" t="s">
        <v>85</v>
      </c>
      <c r="B31" t="s">
        <v>204</v>
      </c>
      <c r="C31" t="s">
        <v>205</v>
      </c>
      <c r="D31" t="str">
        <f>IFERROR(VLOOKUP(A31,Contracts!$A$4:$J$15,3,FALSE),"")</f>
        <v>Office</v>
      </c>
      <c r="E31">
        <f>IFERROR(VLOOKUP(A31,Contracts!$A$4:$J$15,10,FALSE),0)</f>
        <v>5</v>
      </c>
      <c r="F31">
        <f>IFERROR(VLOOKUP(A31,Contracts!$A$4:$J$15,6,FALSE),0)</f>
        <v>2</v>
      </c>
      <c r="G31">
        <f>IFERROR(VLOOKUP(A31,Contracts!$A$4:$J$15,4,FALSE),0)</f>
        <v>18000</v>
      </c>
      <c r="H31">
        <f>IFERROR(VLOOKUP(D31,Settings!$A$4:$B$10,2,FALSE),1)</f>
        <v>1</v>
      </c>
      <c r="I31">
        <f>IFERROR(VLOOKUP(B31,'Supply Catalog'!$A$4:$J$13,5,FALSE),0)</f>
        <v>0.04</v>
      </c>
      <c r="J31" s="7">
        <f>ROUNDUP(E31*((I31*H31)+(G31*IFERROR(VLOOKUP(B31,'Supply Catalog'!$A$4:$J$13,6,FALSE),0))+(F31*IFERROR(VLOOKUP(B31,'Supply Catalog'!$A$4:$J$13,7,FALSE),0))),1)</f>
        <v>0.79999999999999993</v>
      </c>
      <c r="K31" s="7">
        <f t="shared" si="0"/>
        <v>3.5</v>
      </c>
      <c r="L31" t="str">
        <f>IFERROR(VLOOKUP(A31,Contracts!$A$4:$J$15,7,FALSE),"")</f>
        <v>Normal</v>
      </c>
    </row>
    <row r="32" spans="1:12">
      <c r="A32" t="s">
        <v>85</v>
      </c>
      <c r="B32" t="s">
        <v>208</v>
      </c>
      <c r="C32" t="s">
        <v>209</v>
      </c>
      <c r="D32" t="str">
        <f>IFERROR(VLOOKUP(A32,Contracts!$A$4:$J$15,3,FALSE),"")</f>
        <v>Office</v>
      </c>
      <c r="E32">
        <f>IFERROR(VLOOKUP(A32,Contracts!$A$4:$J$15,10,FALSE),0)</f>
        <v>5</v>
      </c>
      <c r="F32">
        <f>IFERROR(VLOOKUP(A32,Contracts!$A$4:$J$15,6,FALSE),0)</f>
        <v>2</v>
      </c>
      <c r="G32">
        <f>IFERROR(VLOOKUP(A32,Contracts!$A$4:$J$15,4,FALSE),0)</f>
        <v>18000</v>
      </c>
      <c r="H32">
        <f>IFERROR(VLOOKUP(D32,Settings!$A$4:$B$10,2,FALSE),1)</f>
        <v>1</v>
      </c>
      <c r="I32">
        <f>IFERROR(VLOOKUP(B32,'Supply Catalog'!$A$4:$J$13,5,FALSE),0)</f>
        <v>0.1</v>
      </c>
      <c r="J32" s="7">
        <f>ROUNDUP(E32*((I32*H32)+(G32*IFERROR(VLOOKUP(B32,'Supply Catalog'!$A$4:$J$13,6,FALSE),0))+(F32*IFERROR(VLOOKUP(B32,'Supply Catalog'!$A$4:$J$13,7,FALSE),0))),1)</f>
        <v>2.6</v>
      </c>
      <c r="K32" s="7">
        <f t="shared" si="0"/>
        <v>11.299999999999999</v>
      </c>
      <c r="L32" t="str">
        <f>IFERROR(VLOOKUP(A32,Contracts!$A$4:$J$15,7,FALSE),"")</f>
        <v>Normal</v>
      </c>
    </row>
    <row r="33" spans="1:12">
      <c r="A33" t="s">
        <v>85</v>
      </c>
      <c r="B33" t="s">
        <v>211</v>
      </c>
      <c r="C33" t="s">
        <v>212</v>
      </c>
      <c r="D33" t="str">
        <f>IFERROR(VLOOKUP(A33,Contracts!$A$4:$J$15,3,FALSE),"")</f>
        <v>Office</v>
      </c>
      <c r="E33">
        <f>IFERROR(VLOOKUP(A33,Contracts!$A$4:$J$15,10,FALSE),0)</f>
        <v>5</v>
      </c>
      <c r="F33">
        <f>IFERROR(VLOOKUP(A33,Contracts!$A$4:$J$15,6,FALSE),0)</f>
        <v>2</v>
      </c>
      <c r="G33">
        <f>IFERROR(VLOOKUP(A33,Contracts!$A$4:$J$15,4,FALSE),0)</f>
        <v>18000</v>
      </c>
      <c r="H33">
        <f>IFERROR(VLOOKUP(D33,Settings!$A$4:$B$10,2,FALSE),1)</f>
        <v>1</v>
      </c>
      <c r="I33">
        <f>IFERROR(VLOOKUP(B33,'Supply Catalog'!$A$4:$J$13,5,FALSE),0)</f>
        <v>0.1</v>
      </c>
      <c r="J33" s="7">
        <f>ROUNDUP(E33*((I33*H33)+(G33*IFERROR(VLOOKUP(B33,'Supply Catalog'!$A$4:$J$13,6,FALSE),0))+(F33*IFERROR(VLOOKUP(B33,'Supply Catalog'!$A$4:$J$13,7,FALSE),0))),1)</f>
        <v>1.9000000000000001</v>
      </c>
      <c r="K33" s="7">
        <f t="shared" si="0"/>
        <v>8.2999999999999989</v>
      </c>
      <c r="L33" t="str">
        <f>IFERROR(VLOOKUP(A33,Contracts!$A$4:$J$15,7,FALSE),"")</f>
        <v>Normal</v>
      </c>
    </row>
    <row r="34" spans="1:12">
      <c r="A34" t="s">
        <v>89</v>
      </c>
      <c r="B34" t="s">
        <v>173</v>
      </c>
      <c r="C34" t="s">
        <v>174</v>
      </c>
      <c r="D34" t="str">
        <f>IFERROR(VLOOKUP(A34,Contracts!$A$4:$J$15,3,FALSE),"")</f>
        <v>Light Office</v>
      </c>
      <c r="E34">
        <f>IFERROR(VLOOKUP(A34,Contracts!$A$4:$J$15,10,FALSE),0)</f>
        <v>5</v>
      </c>
      <c r="F34">
        <f>IFERROR(VLOOKUP(A34,Contracts!$A$4:$J$15,6,FALSE),0)</f>
        <v>1</v>
      </c>
      <c r="G34">
        <f>IFERROR(VLOOKUP(A34,Contracts!$A$4:$J$15,4,FALSE),0)</f>
        <v>14000</v>
      </c>
      <c r="H34">
        <f>IFERROR(VLOOKUP(D34,Settings!$A$4:$B$10,2,FALSE),1)</f>
        <v>0.7</v>
      </c>
      <c r="I34">
        <f>IFERROR(VLOOKUP(B34,'Supply Catalog'!$A$4:$J$13,5,FALSE),0)</f>
        <v>0.18</v>
      </c>
      <c r="J34" s="7">
        <f>ROUNDUP(E34*((I34*H34)+(G34*IFERROR(VLOOKUP(B34,'Supply Catalog'!$A$4:$J$13,6,FALSE),0))+(F34*IFERROR(VLOOKUP(B34,'Supply Catalog'!$A$4:$J$13,7,FALSE),0))),1)</f>
        <v>2</v>
      </c>
      <c r="K34" s="7">
        <f t="shared" si="0"/>
        <v>8.6999999999999993</v>
      </c>
      <c r="L34" t="str">
        <f>IFERROR(VLOOKUP(A34,Contracts!$A$4:$J$15,7,FALSE),"")</f>
        <v>Normal</v>
      </c>
    </row>
    <row r="35" spans="1:12">
      <c r="A35" t="s">
        <v>89</v>
      </c>
      <c r="B35" t="s">
        <v>179</v>
      </c>
      <c r="C35" t="s">
        <v>180</v>
      </c>
      <c r="D35" t="str">
        <f>IFERROR(VLOOKUP(A35,Contracts!$A$4:$J$15,3,FALSE),"")</f>
        <v>Light Office</v>
      </c>
      <c r="E35">
        <f>IFERROR(VLOOKUP(A35,Contracts!$A$4:$J$15,10,FALSE),0)</f>
        <v>5</v>
      </c>
      <c r="F35">
        <f>IFERROR(VLOOKUP(A35,Contracts!$A$4:$J$15,6,FALSE),0)</f>
        <v>1</v>
      </c>
      <c r="G35">
        <f>IFERROR(VLOOKUP(A35,Contracts!$A$4:$J$15,4,FALSE),0)</f>
        <v>14000</v>
      </c>
      <c r="H35">
        <f>IFERROR(VLOOKUP(D35,Settings!$A$4:$B$10,2,FALSE),1)</f>
        <v>0.7</v>
      </c>
      <c r="I35">
        <f>IFERROR(VLOOKUP(B35,'Supply Catalog'!$A$4:$J$13,5,FALSE),0)</f>
        <v>0.45</v>
      </c>
      <c r="J35" s="7">
        <f>ROUNDUP(E35*((I35*H35)+(G35*IFERROR(VLOOKUP(B35,'Supply Catalog'!$A$4:$J$13,6,FALSE),0))+(F35*IFERROR(VLOOKUP(B35,'Supply Catalog'!$A$4:$J$13,7,FALSE),0))),1)</f>
        <v>2.5</v>
      </c>
      <c r="K35" s="7">
        <f t="shared" si="0"/>
        <v>10.9</v>
      </c>
      <c r="L35" t="str">
        <f>IFERROR(VLOOKUP(A35,Contracts!$A$4:$J$15,7,FALSE),"")</f>
        <v>Normal</v>
      </c>
    </row>
    <row r="36" spans="1:12">
      <c r="A36" t="s">
        <v>89</v>
      </c>
      <c r="B36" t="s">
        <v>184</v>
      </c>
      <c r="C36" t="s">
        <v>185</v>
      </c>
      <c r="D36" t="str">
        <f>IFERROR(VLOOKUP(A36,Contracts!$A$4:$J$15,3,FALSE),"")</f>
        <v>Light Office</v>
      </c>
      <c r="E36">
        <f>IFERROR(VLOOKUP(A36,Contracts!$A$4:$J$15,10,FALSE),0)</f>
        <v>5</v>
      </c>
      <c r="F36">
        <f>IFERROR(VLOOKUP(A36,Contracts!$A$4:$J$15,6,FALSE),0)</f>
        <v>1</v>
      </c>
      <c r="G36">
        <f>IFERROR(VLOOKUP(A36,Contracts!$A$4:$J$15,4,FALSE),0)</f>
        <v>14000</v>
      </c>
      <c r="H36">
        <f>IFERROR(VLOOKUP(D36,Settings!$A$4:$B$10,2,FALSE),1)</f>
        <v>0.7</v>
      </c>
      <c r="I36">
        <f>IFERROR(VLOOKUP(B36,'Supply Catalog'!$A$4:$J$13,5,FALSE),0)</f>
        <v>0.12</v>
      </c>
      <c r="J36" s="7">
        <f>ROUNDUP(E36*((I36*H36)+(G36*IFERROR(VLOOKUP(B36,'Supply Catalog'!$A$4:$J$13,6,FALSE),0))+(F36*IFERROR(VLOOKUP(B36,'Supply Catalog'!$A$4:$J$13,7,FALSE),0))),1)</f>
        <v>2.1</v>
      </c>
      <c r="K36" s="7">
        <f t="shared" ref="K36:K67" si="1">ROUNDUP(J36*4.33,1)</f>
        <v>9.1</v>
      </c>
      <c r="L36" t="str">
        <f>IFERROR(VLOOKUP(A36,Contracts!$A$4:$J$15,7,FALSE),"")</f>
        <v>Normal</v>
      </c>
    </row>
    <row r="37" spans="1:12">
      <c r="A37" t="s">
        <v>89</v>
      </c>
      <c r="B37" t="s">
        <v>190</v>
      </c>
      <c r="C37" t="s">
        <v>191</v>
      </c>
      <c r="D37" t="str">
        <f>IFERROR(VLOOKUP(A37,Contracts!$A$4:$J$15,3,FALSE),"")</f>
        <v>Light Office</v>
      </c>
      <c r="E37">
        <f>IFERROR(VLOOKUP(A37,Contracts!$A$4:$J$15,10,FALSE),0)</f>
        <v>5</v>
      </c>
      <c r="F37">
        <f>IFERROR(VLOOKUP(A37,Contracts!$A$4:$J$15,6,FALSE),0)</f>
        <v>1</v>
      </c>
      <c r="G37">
        <f>IFERROR(VLOOKUP(A37,Contracts!$A$4:$J$15,4,FALSE),0)</f>
        <v>14000</v>
      </c>
      <c r="H37">
        <f>IFERROR(VLOOKUP(D37,Settings!$A$4:$B$10,2,FALSE),1)</f>
        <v>0.7</v>
      </c>
      <c r="I37">
        <f>IFERROR(VLOOKUP(B37,'Supply Catalog'!$A$4:$J$13,5,FALSE),0)</f>
        <v>0.08</v>
      </c>
      <c r="J37" s="7">
        <f>ROUNDUP(E37*((I37*H37)+(G37*IFERROR(VLOOKUP(B37,'Supply Catalog'!$A$4:$J$13,6,FALSE),0))+(F37*IFERROR(VLOOKUP(B37,'Supply Catalog'!$A$4:$J$13,7,FALSE),0))),1)</f>
        <v>1.2000000000000002</v>
      </c>
      <c r="K37" s="7">
        <f t="shared" si="1"/>
        <v>5.1999999999999993</v>
      </c>
      <c r="L37" t="str">
        <f>IFERROR(VLOOKUP(A37,Contracts!$A$4:$J$15,7,FALSE),"")</f>
        <v>Normal</v>
      </c>
    </row>
    <row r="38" spans="1:12">
      <c r="A38" t="s">
        <v>89</v>
      </c>
      <c r="B38" t="s">
        <v>193</v>
      </c>
      <c r="C38" t="s">
        <v>194</v>
      </c>
      <c r="D38" t="str">
        <f>IFERROR(VLOOKUP(A38,Contracts!$A$4:$J$15,3,FALSE),"")</f>
        <v>Light Office</v>
      </c>
      <c r="E38">
        <f>IFERROR(VLOOKUP(A38,Contracts!$A$4:$J$15,10,FALSE),0)</f>
        <v>5</v>
      </c>
      <c r="F38">
        <f>IFERROR(VLOOKUP(A38,Contracts!$A$4:$J$15,6,FALSE),0)</f>
        <v>1</v>
      </c>
      <c r="G38">
        <f>IFERROR(VLOOKUP(A38,Contracts!$A$4:$J$15,4,FALSE),0)</f>
        <v>14000</v>
      </c>
      <c r="H38">
        <f>IFERROR(VLOOKUP(D38,Settings!$A$4:$B$10,2,FALSE),1)</f>
        <v>0.7</v>
      </c>
      <c r="I38">
        <f>IFERROR(VLOOKUP(B38,'Supply Catalog'!$A$4:$J$13,5,FALSE),0)</f>
        <v>0.2</v>
      </c>
      <c r="J38" s="7">
        <f>ROUNDUP(E38*((I38*H38)+(G38*IFERROR(VLOOKUP(B38,'Supply Catalog'!$A$4:$J$13,6,FALSE),0))+(F38*IFERROR(VLOOKUP(B38,'Supply Catalog'!$A$4:$J$13,7,FALSE),0))),1)</f>
        <v>2.2999999999999998</v>
      </c>
      <c r="K38" s="7">
        <f t="shared" si="1"/>
        <v>10</v>
      </c>
      <c r="L38" t="str">
        <f>IFERROR(VLOOKUP(A38,Contracts!$A$4:$J$15,7,FALSE),"")</f>
        <v>Normal</v>
      </c>
    </row>
    <row r="39" spans="1:12">
      <c r="A39" t="s">
        <v>89</v>
      </c>
      <c r="B39" t="s">
        <v>197</v>
      </c>
      <c r="C39" t="s">
        <v>198</v>
      </c>
      <c r="D39" t="str">
        <f>IFERROR(VLOOKUP(A39,Contracts!$A$4:$J$15,3,FALSE),"")</f>
        <v>Light Office</v>
      </c>
      <c r="E39">
        <f>IFERROR(VLOOKUP(A39,Contracts!$A$4:$J$15,10,FALSE),0)</f>
        <v>5</v>
      </c>
      <c r="F39">
        <f>IFERROR(VLOOKUP(A39,Contracts!$A$4:$J$15,6,FALSE),0)</f>
        <v>1</v>
      </c>
      <c r="G39">
        <f>IFERROR(VLOOKUP(A39,Contracts!$A$4:$J$15,4,FALSE),0)</f>
        <v>14000</v>
      </c>
      <c r="H39">
        <f>IFERROR(VLOOKUP(D39,Settings!$A$4:$B$10,2,FALSE),1)</f>
        <v>0.7</v>
      </c>
      <c r="I39">
        <f>IFERROR(VLOOKUP(B39,'Supply Catalog'!$A$4:$J$13,5,FALSE),0)</f>
        <v>0.16</v>
      </c>
      <c r="J39" s="7">
        <f>ROUNDUP(E39*((I39*H39)+(G39*IFERROR(VLOOKUP(B39,'Supply Catalog'!$A$4:$J$13,6,FALSE),0))+(F39*IFERROR(VLOOKUP(B39,'Supply Catalog'!$A$4:$J$13,7,FALSE),0))),1)</f>
        <v>2.1</v>
      </c>
      <c r="K39" s="7">
        <f t="shared" si="1"/>
        <v>9.1</v>
      </c>
      <c r="L39" t="str">
        <f>IFERROR(VLOOKUP(A39,Contracts!$A$4:$J$15,7,FALSE),"")</f>
        <v>Normal</v>
      </c>
    </row>
    <row r="40" spans="1:12">
      <c r="A40" t="s">
        <v>89</v>
      </c>
      <c r="B40" t="s">
        <v>199</v>
      </c>
      <c r="C40" t="s">
        <v>200</v>
      </c>
      <c r="D40" t="str">
        <f>IFERROR(VLOOKUP(A40,Contracts!$A$4:$J$15,3,FALSE),"")</f>
        <v>Light Office</v>
      </c>
      <c r="E40">
        <f>IFERROR(VLOOKUP(A40,Contracts!$A$4:$J$15,10,FALSE),0)</f>
        <v>5</v>
      </c>
      <c r="F40">
        <f>IFERROR(VLOOKUP(A40,Contracts!$A$4:$J$15,6,FALSE),0)</f>
        <v>1</v>
      </c>
      <c r="G40">
        <f>IFERROR(VLOOKUP(A40,Contracts!$A$4:$J$15,4,FALSE),0)</f>
        <v>14000</v>
      </c>
      <c r="H40">
        <f>IFERROR(VLOOKUP(D40,Settings!$A$4:$B$10,2,FALSE),1)</f>
        <v>0.7</v>
      </c>
      <c r="I40">
        <f>IFERROR(VLOOKUP(B40,'Supply Catalog'!$A$4:$J$13,5,FALSE),0)</f>
        <v>0.06</v>
      </c>
      <c r="J40" s="7">
        <f>ROUNDUP(E40*((I40*H40)+(G40*IFERROR(VLOOKUP(B40,'Supply Catalog'!$A$4:$J$13,6,FALSE),0))+(F40*IFERROR(VLOOKUP(B40,'Supply Catalog'!$A$4:$J$13,7,FALSE),0))),1)</f>
        <v>0.9</v>
      </c>
      <c r="K40" s="7">
        <f t="shared" si="1"/>
        <v>3.9</v>
      </c>
      <c r="L40" t="str">
        <f>IFERROR(VLOOKUP(A40,Contracts!$A$4:$J$15,7,FALSE),"")</f>
        <v>Normal</v>
      </c>
    </row>
    <row r="41" spans="1:12">
      <c r="A41" t="s">
        <v>89</v>
      </c>
      <c r="B41" t="s">
        <v>204</v>
      </c>
      <c r="C41" t="s">
        <v>205</v>
      </c>
      <c r="D41" t="str">
        <f>IFERROR(VLOOKUP(A41,Contracts!$A$4:$J$15,3,FALSE),"")</f>
        <v>Light Office</v>
      </c>
      <c r="E41">
        <f>IFERROR(VLOOKUP(A41,Contracts!$A$4:$J$15,10,FALSE),0)</f>
        <v>5</v>
      </c>
      <c r="F41">
        <f>IFERROR(VLOOKUP(A41,Contracts!$A$4:$J$15,6,FALSE),0)</f>
        <v>1</v>
      </c>
      <c r="G41">
        <f>IFERROR(VLOOKUP(A41,Contracts!$A$4:$J$15,4,FALSE),0)</f>
        <v>14000</v>
      </c>
      <c r="H41">
        <f>IFERROR(VLOOKUP(D41,Settings!$A$4:$B$10,2,FALSE),1)</f>
        <v>0.7</v>
      </c>
      <c r="I41">
        <f>IFERROR(VLOOKUP(B41,'Supply Catalog'!$A$4:$J$13,5,FALSE),0)</f>
        <v>0.04</v>
      </c>
      <c r="J41" s="7">
        <f>ROUNDUP(E41*((I41*H41)+(G41*IFERROR(VLOOKUP(B41,'Supply Catalog'!$A$4:$J$13,6,FALSE),0))+(F41*IFERROR(VLOOKUP(B41,'Supply Catalog'!$A$4:$J$13,7,FALSE),0))),1)</f>
        <v>0.6</v>
      </c>
      <c r="K41" s="7">
        <f t="shared" si="1"/>
        <v>2.6</v>
      </c>
      <c r="L41" t="str">
        <f>IFERROR(VLOOKUP(A41,Contracts!$A$4:$J$15,7,FALSE),"")</f>
        <v>Normal</v>
      </c>
    </row>
    <row r="42" spans="1:12">
      <c r="A42" t="s">
        <v>89</v>
      </c>
      <c r="B42" t="s">
        <v>208</v>
      </c>
      <c r="C42" t="s">
        <v>209</v>
      </c>
      <c r="D42" t="str">
        <f>IFERROR(VLOOKUP(A42,Contracts!$A$4:$J$15,3,FALSE),"")</f>
        <v>Light Office</v>
      </c>
      <c r="E42">
        <f>IFERROR(VLOOKUP(A42,Contracts!$A$4:$J$15,10,FALSE),0)</f>
        <v>5</v>
      </c>
      <c r="F42">
        <f>IFERROR(VLOOKUP(A42,Contracts!$A$4:$J$15,6,FALSE),0)</f>
        <v>1</v>
      </c>
      <c r="G42">
        <f>IFERROR(VLOOKUP(A42,Contracts!$A$4:$J$15,4,FALSE),0)</f>
        <v>14000</v>
      </c>
      <c r="H42">
        <f>IFERROR(VLOOKUP(D42,Settings!$A$4:$B$10,2,FALSE),1)</f>
        <v>0.7</v>
      </c>
      <c r="I42">
        <f>IFERROR(VLOOKUP(B42,'Supply Catalog'!$A$4:$J$13,5,FALSE),0)</f>
        <v>0.1</v>
      </c>
      <c r="J42" s="7">
        <f>ROUNDUP(E42*((I42*H42)+(G42*IFERROR(VLOOKUP(B42,'Supply Catalog'!$A$4:$J$13,6,FALSE),0))+(F42*IFERROR(VLOOKUP(B42,'Supply Catalog'!$A$4:$J$13,7,FALSE),0))),1)</f>
        <v>1.9000000000000001</v>
      </c>
      <c r="K42" s="7">
        <f t="shared" si="1"/>
        <v>8.2999999999999989</v>
      </c>
      <c r="L42" t="str">
        <f>IFERROR(VLOOKUP(A42,Contracts!$A$4:$J$15,7,FALSE),"")</f>
        <v>Normal</v>
      </c>
    </row>
    <row r="43" spans="1:12">
      <c r="A43" t="s">
        <v>89</v>
      </c>
      <c r="B43" t="s">
        <v>211</v>
      </c>
      <c r="C43" t="s">
        <v>212</v>
      </c>
      <c r="D43" t="str">
        <f>IFERROR(VLOOKUP(A43,Contracts!$A$4:$J$15,3,FALSE),"")</f>
        <v>Light Office</v>
      </c>
      <c r="E43">
        <f>IFERROR(VLOOKUP(A43,Contracts!$A$4:$J$15,10,FALSE),0)</f>
        <v>5</v>
      </c>
      <c r="F43">
        <f>IFERROR(VLOOKUP(A43,Contracts!$A$4:$J$15,6,FALSE),0)</f>
        <v>1</v>
      </c>
      <c r="G43">
        <f>IFERROR(VLOOKUP(A43,Contracts!$A$4:$J$15,4,FALSE),0)</f>
        <v>14000</v>
      </c>
      <c r="H43">
        <f>IFERROR(VLOOKUP(D43,Settings!$A$4:$B$10,2,FALSE),1)</f>
        <v>0.7</v>
      </c>
      <c r="I43">
        <f>IFERROR(VLOOKUP(B43,'Supply Catalog'!$A$4:$J$13,5,FALSE),0)</f>
        <v>0.1</v>
      </c>
      <c r="J43" s="7">
        <f>ROUNDUP(E43*((I43*H43)+(G43*IFERROR(VLOOKUP(B43,'Supply Catalog'!$A$4:$J$13,6,FALSE),0))+(F43*IFERROR(VLOOKUP(B43,'Supply Catalog'!$A$4:$J$13,7,FALSE),0))),1)</f>
        <v>1.4000000000000001</v>
      </c>
      <c r="K43" s="7">
        <f t="shared" si="1"/>
        <v>6.1</v>
      </c>
      <c r="L43" t="str">
        <f>IFERROR(VLOOKUP(A43,Contracts!$A$4:$J$15,7,FALSE),"")</f>
        <v>Normal</v>
      </c>
    </row>
    <row r="44" spans="1:12">
      <c r="A44" t="s">
        <v>93</v>
      </c>
      <c r="B44" t="s">
        <v>173</v>
      </c>
      <c r="C44" t="s">
        <v>174</v>
      </c>
      <c r="D44" t="str">
        <f>IFERROR(VLOOKUP(A44,Contracts!$A$4:$J$15,3,FALSE),"")</f>
        <v>Industrial</v>
      </c>
      <c r="E44">
        <f>IFERROR(VLOOKUP(A44,Contracts!$A$4:$J$15,10,FALSE),0)</f>
        <v>5</v>
      </c>
      <c r="F44">
        <f>IFERROR(VLOOKUP(A44,Contracts!$A$4:$J$15,6,FALSE),0)</f>
        <v>1</v>
      </c>
      <c r="G44">
        <f>IFERROR(VLOOKUP(A44,Contracts!$A$4:$J$15,4,FALSE),0)</f>
        <v>9000</v>
      </c>
      <c r="H44">
        <f>IFERROR(VLOOKUP(D44,Settings!$A$4:$B$10,2,FALSE),1)</f>
        <v>1.7</v>
      </c>
      <c r="I44">
        <f>IFERROR(VLOOKUP(B44,'Supply Catalog'!$A$4:$J$13,5,FALSE),0)</f>
        <v>0.18</v>
      </c>
      <c r="J44" s="7">
        <f>ROUNDUP(E44*((I44*H44)+(G44*IFERROR(VLOOKUP(B44,'Supply Catalog'!$A$4:$J$13,6,FALSE),0))+(F44*IFERROR(VLOOKUP(B44,'Supply Catalog'!$A$4:$J$13,7,FALSE),0))),1)</f>
        <v>2.5</v>
      </c>
      <c r="K44" s="7">
        <f t="shared" si="1"/>
        <v>10.9</v>
      </c>
      <c r="L44" t="str">
        <f>IFERROR(VLOOKUP(A44,Contracts!$A$4:$J$15,7,FALSE),"")</f>
        <v>High</v>
      </c>
    </row>
    <row r="45" spans="1:12">
      <c r="A45" t="s">
        <v>93</v>
      </c>
      <c r="B45" t="s">
        <v>179</v>
      </c>
      <c r="C45" t="s">
        <v>180</v>
      </c>
      <c r="D45" t="str">
        <f>IFERROR(VLOOKUP(A45,Contracts!$A$4:$J$15,3,FALSE),"")</f>
        <v>Industrial</v>
      </c>
      <c r="E45">
        <f>IFERROR(VLOOKUP(A45,Contracts!$A$4:$J$15,10,FALSE),0)</f>
        <v>5</v>
      </c>
      <c r="F45">
        <f>IFERROR(VLOOKUP(A45,Contracts!$A$4:$J$15,6,FALSE),0)</f>
        <v>1</v>
      </c>
      <c r="G45">
        <f>IFERROR(VLOOKUP(A45,Contracts!$A$4:$J$15,4,FALSE),0)</f>
        <v>9000</v>
      </c>
      <c r="H45">
        <f>IFERROR(VLOOKUP(D45,Settings!$A$4:$B$10,2,FALSE),1)</f>
        <v>1.7</v>
      </c>
      <c r="I45">
        <f>IFERROR(VLOOKUP(B45,'Supply Catalog'!$A$4:$J$13,5,FALSE),0)</f>
        <v>0.45</v>
      </c>
      <c r="J45" s="7">
        <f>ROUNDUP(E45*((I45*H45)+(G45*IFERROR(VLOOKUP(B45,'Supply Catalog'!$A$4:$J$13,6,FALSE),0))+(F45*IFERROR(VLOOKUP(B45,'Supply Catalog'!$A$4:$J$13,7,FALSE),0))),1)</f>
        <v>4.5999999999999996</v>
      </c>
      <c r="K45" s="7">
        <f t="shared" si="1"/>
        <v>20</v>
      </c>
      <c r="L45" t="str">
        <f>IFERROR(VLOOKUP(A45,Contracts!$A$4:$J$15,7,FALSE),"")</f>
        <v>High</v>
      </c>
    </row>
    <row r="46" spans="1:12">
      <c r="A46" t="s">
        <v>93</v>
      </c>
      <c r="B46" t="s">
        <v>184</v>
      </c>
      <c r="C46" t="s">
        <v>185</v>
      </c>
      <c r="D46" t="str">
        <f>IFERROR(VLOOKUP(A46,Contracts!$A$4:$J$15,3,FALSE),"")</f>
        <v>Industrial</v>
      </c>
      <c r="E46">
        <f>IFERROR(VLOOKUP(A46,Contracts!$A$4:$J$15,10,FALSE),0)</f>
        <v>5</v>
      </c>
      <c r="F46">
        <f>IFERROR(VLOOKUP(A46,Contracts!$A$4:$J$15,6,FALSE),0)</f>
        <v>1</v>
      </c>
      <c r="G46">
        <f>IFERROR(VLOOKUP(A46,Contracts!$A$4:$J$15,4,FALSE),0)</f>
        <v>9000</v>
      </c>
      <c r="H46">
        <f>IFERROR(VLOOKUP(D46,Settings!$A$4:$B$10,2,FALSE),1)</f>
        <v>1.7</v>
      </c>
      <c r="I46">
        <f>IFERROR(VLOOKUP(B46,'Supply Catalog'!$A$4:$J$13,5,FALSE),0)</f>
        <v>0.12</v>
      </c>
      <c r="J46" s="7">
        <f>ROUNDUP(E46*((I46*H46)+(G46*IFERROR(VLOOKUP(B46,'Supply Catalog'!$A$4:$J$13,6,FALSE),0))+(F46*IFERROR(VLOOKUP(B46,'Supply Catalog'!$A$4:$J$13,7,FALSE),0))),1)</f>
        <v>2.2000000000000002</v>
      </c>
      <c r="K46" s="7">
        <f t="shared" si="1"/>
        <v>9.6</v>
      </c>
      <c r="L46" t="str">
        <f>IFERROR(VLOOKUP(A46,Contracts!$A$4:$J$15,7,FALSE),"")</f>
        <v>High</v>
      </c>
    </row>
    <row r="47" spans="1:12">
      <c r="A47" t="s">
        <v>93</v>
      </c>
      <c r="B47" t="s">
        <v>190</v>
      </c>
      <c r="C47" t="s">
        <v>191</v>
      </c>
      <c r="D47" t="str">
        <f>IFERROR(VLOOKUP(A47,Contracts!$A$4:$J$15,3,FALSE),"")</f>
        <v>Industrial</v>
      </c>
      <c r="E47">
        <f>IFERROR(VLOOKUP(A47,Contracts!$A$4:$J$15,10,FALSE),0)</f>
        <v>5</v>
      </c>
      <c r="F47">
        <f>IFERROR(VLOOKUP(A47,Contracts!$A$4:$J$15,6,FALSE),0)</f>
        <v>1</v>
      </c>
      <c r="G47">
        <f>IFERROR(VLOOKUP(A47,Contracts!$A$4:$J$15,4,FALSE),0)</f>
        <v>9000</v>
      </c>
      <c r="H47">
        <f>IFERROR(VLOOKUP(D47,Settings!$A$4:$B$10,2,FALSE),1)</f>
        <v>1.7</v>
      </c>
      <c r="I47">
        <f>IFERROR(VLOOKUP(B47,'Supply Catalog'!$A$4:$J$13,5,FALSE),0)</f>
        <v>0.08</v>
      </c>
      <c r="J47" s="7">
        <f>ROUNDUP(E47*((I47*H47)+(G47*IFERROR(VLOOKUP(B47,'Supply Catalog'!$A$4:$J$13,6,FALSE),0))+(F47*IFERROR(VLOOKUP(B47,'Supply Catalog'!$A$4:$J$13,7,FALSE),0))),1)</f>
        <v>1.3</v>
      </c>
      <c r="K47" s="7">
        <f t="shared" si="1"/>
        <v>5.6999999999999993</v>
      </c>
      <c r="L47" t="str">
        <f>IFERROR(VLOOKUP(A47,Contracts!$A$4:$J$15,7,FALSE),"")</f>
        <v>High</v>
      </c>
    </row>
    <row r="48" spans="1:12">
      <c r="A48" t="s">
        <v>93</v>
      </c>
      <c r="B48" t="s">
        <v>193</v>
      </c>
      <c r="C48" t="s">
        <v>194</v>
      </c>
      <c r="D48" t="str">
        <f>IFERROR(VLOOKUP(A48,Contracts!$A$4:$J$15,3,FALSE),"")</f>
        <v>Industrial</v>
      </c>
      <c r="E48">
        <f>IFERROR(VLOOKUP(A48,Contracts!$A$4:$J$15,10,FALSE),0)</f>
        <v>5</v>
      </c>
      <c r="F48">
        <f>IFERROR(VLOOKUP(A48,Contracts!$A$4:$J$15,6,FALSE),0)</f>
        <v>1</v>
      </c>
      <c r="G48">
        <f>IFERROR(VLOOKUP(A48,Contracts!$A$4:$J$15,4,FALSE),0)</f>
        <v>9000</v>
      </c>
      <c r="H48">
        <f>IFERROR(VLOOKUP(D48,Settings!$A$4:$B$10,2,FALSE),1)</f>
        <v>1.7</v>
      </c>
      <c r="I48">
        <f>IFERROR(VLOOKUP(B48,'Supply Catalog'!$A$4:$J$13,5,FALSE),0)</f>
        <v>0.2</v>
      </c>
      <c r="J48" s="7">
        <f>ROUNDUP(E48*((I48*H48)+(G48*IFERROR(VLOOKUP(B48,'Supply Catalog'!$A$4:$J$13,6,FALSE),0))+(F48*IFERROR(VLOOKUP(B48,'Supply Catalog'!$A$4:$J$13,7,FALSE),0))),1)</f>
        <v>2.8</v>
      </c>
      <c r="K48" s="7">
        <f t="shared" si="1"/>
        <v>12.2</v>
      </c>
      <c r="L48" t="str">
        <f>IFERROR(VLOOKUP(A48,Contracts!$A$4:$J$15,7,FALSE),"")</f>
        <v>High</v>
      </c>
    </row>
    <row r="49" spans="1:12">
      <c r="A49" t="s">
        <v>93</v>
      </c>
      <c r="B49" t="s">
        <v>197</v>
      </c>
      <c r="C49" t="s">
        <v>198</v>
      </c>
      <c r="D49" t="str">
        <f>IFERROR(VLOOKUP(A49,Contracts!$A$4:$J$15,3,FALSE),"")</f>
        <v>Industrial</v>
      </c>
      <c r="E49">
        <f>IFERROR(VLOOKUP(A49,Contracts!$A$4:$J$15,10,FALSE),0)</f>
        <v>5</v>
      </c>
      <c r="F49">
        <f>IFERROR(VLOOKUP(A49,Contracts!$A$4:$J$15,6,FALSE),0)</f>
        <v>1</v>
      </c>
      <c r="G49">
        <f>IFERROR(VLOOKUP(A49,Contracts!$A$4:$J$15,4,FALSE),0)</f>
        <v>9000</v>
      </c>
      <c r="H49">
        <f>IFERROR(VLOOKUP(D49,Settings!$A$4:$B$10,2,FALSE),1)</f>
        <v>1.7</v>
      </c>
      <c r="I49">
        <f>IFERROR(VLOOKUP(B49,'Supply Catalog'!$A$4:$J$13,5,FALSE),0)</f>
        <v>0.16</v>
      </c>
      <c r="J49" s="7">
        <f>ROUNDUP(E49*((I49*H49)+(G49*IFERROR(VLOOKUP(B49,'Supply Catalog'!$A$4:$J$13,6,FALSE),0))+(F49*IFERROR(VLOOKUP(B49,'Supply Catalog'!$A$4:$J$13,7,FALSE),0))),1)</f>
        <v>2.4</v>
      </c>
      <c r="K49" s="7">
        <f t="shared" si="1"/>
        <v>10.4</v>
      </c>
      <c r="L49" t="str">
        <f>IFERROR(VLOOKUP(A49,Contracts!$A$4:$J$15,7,FALSE),"")</f>
        <v>High</v>
      </c>
    </row>
    <row r="50" spans="1:12">
      <c r="A50" t="s">
        <v>93</v>
      </c>
      <c r="B50" t="s">
        <v>199</v>
      </c>
      <c r="C50" t="s">
        <v>200</v>
      </c>
      <c r="D50" t="str">
        <f>IFERROR(VLOOKUP(A50,Contracts!$A$4:$J$15,3,FALSE),"")</f>
        <v>Industrial</v>
      </c>
      <c r="E50">
        <f>IFERROR(VLOOKUP(A50,Contracts!$A$4:$J$15,10,FALSE),0)</f>
        <v>5</v>
      </c>
      <c r="F50">
        <f>IFERROR(VLOOKUP(A50,Contracts!$A$4:$J$15,6,FALSE),0)</f>
        <v>1</v>
      </c>
      <c r="G50">
        <f>IFERROR(VLOOKUP(A50,Contracts!$A$4:$J$15,4,FALSE),0)</f>
        <v>9000</v>
      </c>
      <c r="H50">
        <f>IFERROR(VLOOKUP(D50,Settings!$A$4:$B$10,2,FALSE),1)</f>
        <v>1.7</v>
      </c>
      <c r="I50">
        <f>IFERROR(VLOOKUP(B50,'Supply Catalog'!$A$4:$J$13,5,FALSE),0)</f>
        <v>0.06</v>
      </c>
      <c r="J50" s="7">
        <f>ROUNDUP(E50*((I50*H50)+(G50*IFERROR(VLOOKUP(B50,'Supply Catalog'!$A$4:$J$13,6,FALSE),0))+(F50*IFERROR(VLOOKUP(B50,'Supply Catalog'!$A$4:$J$13,7,FALSE),0))),1)</f>
        <v>1.1000000000000001</v>
      </c>
      <c r="K50" s="7">
        <f t="shared" si="1"/>
        <v>4.8</v>
      </c>
      <c r="L50" t="str">
        <f>IFERROR(VLOOKUP(A50,Contracts!$A$4:$J$15,7,FALSE),"")</f>
        <v>High</v>
      </c>
    </row>
    <row r="51" spans="1:12">
      <c r="A51" t="s">
        <v>93</v>
      </c>
      <c r="B51" t="s">
        <v>204</v>
      </c>
      <c r="C51" t="s">
        <v>205</v>
      </c>
      <c r="D51" t="str">
        <f>IFERROR(VLOOKUP(A51,Contracts!$A$4:$J$15,3,FALSE),"")</f>
        <v>Industrial</v>
      </c>
      <c r="E51">
        <f>IFERROR(VLOOKUP(A51,Contracts!$A$4:$J$15,10,FALSE),0)</f>
        <v>5</v>
      </c>
      <c r="F51">
        <f>IFERROR(VLOOKUP(A51,Contracts!$A$4:$J$15,6,FALSE),0)</f>
        <v>1</v>
      </c>
      <c r="G51">
        <f>IFERROR(VLOOKUP(A51,Contracts!$A$4:$J$15,4,FALSE),0)</f>
        <v>9000</v>
      </c>
      <c r="H51">
        <f>IFERROR(VLOOKUP(D51,Settings!$A$4:$B$10,2,FALSE),1)</f>
        <v>1.7</v>
      </c>
      <c r="I51">
        <f>IFERROR(VLOOKUP(B51,'Supply Catalog'!$A$4:$J$13,5,FALSE),0)</f>
        <v>0.04</v>
      </c>
      <c r="J51" s="7">
        <f>ROUNDUP(E51*((I51*H51)+(G51*IFERROR(VLOOKUP(B51,'Supply Catalog'!$A$4:$J$13,6,FALSE),0))+(F51*IFERROR(VLOOKUP(B51,'Supply Catalog'!$A$4:$J$13,7,FALSE),0))),1)</f>
        <v>0.7</v>
      </c>
      <c r="K51" s="7">
        <f t="shared" si="1"/>
        <v>3.1</v>
      </c>
      <c r="L51" t="str">
        <f>IFERROR(VLOOKUP(A51,Contracts!$A$4:$J$15,7,FALSE),"")</f>
        <v>High</v>
      </c>
    </row>
    <row r="52" spans="1:12">
      <c r="A52" t="s">
        <v>93</v>
      </c>
      <c r="B52" t="s">
        <v>208</v>
      </c>
      <c r="C52" t="s">
        <v>209</v>
      </c>
      <c r="D52" t="str">
        <f>IFERROR(VLOOKUP(A52,Contracts!$A$4:$J$15,3,FALSE),"")</f>
        <v>Industrial</v>
      </c>
      <c r="E52">
        <f>IFERROR(VLOOKUP(A52,Contracts!$A$4:$J$15,10,FALSE),0)</f>
        <v>5</v>
      </c>
      <c r="F52">
        <f>IFERROR(VLOOKUP(A52,Contracts!$A$4:$J$15,6,FALSE),0)</f>
        <v>1</v>
      </c>
      <c r="G52">
        <f>IFERROR(VLOOKUP(A52,Contracts!$A$4:$J$15,4,FALSE),0)</f>
        <v>9000</v>
      </c>
      <c r="H52">
        <f>IFERROR(VLOOKUP(D52,Settings!$A$4:$B$10,2,FALSE),1)</f>
        <v>1.7</v>
      </c>
      <c r="I52">
        <f>IFERROR(VLOOKUP(B52,'Supply Catalog'!$A$4:$J$13,5,FALSE),0)</f>
        <v>0.1</v>
      </c>
      <c r="J52" s="7">
        <f>ROUNDUP(E52*((I52*H52)+(G52*IFERROR(VLOOKUP(B52,'Supply Catalog'!$A$4:$J$13,6,FALSE),0))+(F52*IFERROR(VLOOKUP(B52,'Supply Catalog'!$A$4:$J$13,7,FALSE),0))),1)</f>
        <v>1.9000000000000001</v>
      </c>
      <c r="K52" s="7">
        <f t="shared" si="1"/>
        <v>8.2999999999999989</v>
      </c>
      <c r="L52" t="str">
        <f>IFERROR(VLOOKUP(A52,Contracts!$A$4:$J$15,7,FALSE),"")</f>
        <v>High</v>
      </c>
    </row>
    <row r="53" spans="1:12">
      <c r="A53" t="s">
        <v>93</v>
      </c>
      <c r="B53" t="s">
        <v>211</v>
      </c>
      <c r="C53" t="s">
        <v>212</v>
      </c>
      <c r="D53" t="str">
        <f>IFERROR(VLOOKUP(A53,Contracts!$A$4:$J$15,3,FALSE),"")</f>
        <v>Industrial</v>
      </c>
      <c r="E53">
        <f>IFERROR(VLOOKUP(A53,Contracts!$A$4:$J$15,10,FALSE),0)</f>
        <v>5</v>
      </c>
      <c r="F53">
        <f>IFERROR(VLOOKUP(A53,Contracts!$A$4:$J$15,6,FALSE),0)</f>
        <v>1</v>
      </c>
      <c r="G53">
        <f>IFERROR(VLOOKUP(A53,Contracts!$A$4:$J$15,4,FALSE),0)</f>
        <v>9000</v>
      </c>
      <c r="H53">
        <f>IFERROR(VLOOKUP(D53,Settings!$A$4:$B$10,2,FALSE),1)</f>
        <v>1.7</v>
      </c>
      <c r="I53">
        <f>IFERROR(VLOOKUP(B53,'Supply Catalog'!$A$4:$J$13,5,FALSE),0)</f>
        <v>0.1</v>
      </c>
      <c r="J53" s="7">
        <f>ROUNDUP(E53*((I53*H53)+(G53*IFERROR(VLOOKUP(B53,'Supply Catalog'!$A$4:$J$13,6,FALSE),0))+(F53*IFERROR(VLOOKUP(B53,'Supply Catalog'!$A$4:$J$13,7,FALSE),0))),1)</f>
        <v>1.6</v>
      </c>
      <c r="K53" s="7">
        <f t="shared" si="1"/>
        <v>7</v>
      </c>
      <c r="L53" t="str">
        <f>IFERROR(VLOOKUP(A53,Contracts!$A$4:$J$15,7,FALSE),"")</f>
        <v>High</v>
      </c>
    </row>
    <row r="54" spans="1:12">
      <c r="A54" t="s">
        <v>97</v>
      </c>
      <c r="B54" t="s">
        <v>173</v>
      </c>
      <c r="C54" t="s">
        <v>174</v>
      </c>
      <c r="D54" t="str">
        <f>IFERROR(VLOOKUP(A54,Contracts!$A$4:$J$15,3,FALSE),"")</f>
        <v>Office</v>
      </c>
      <c r="E54">
        <f>IFERROR(VLOOKUP(A54,Contracts!$A$4:$J$15,10,FALSE),0)</f>
        <v>5</v>
      </c>
      <c r="F54">
        <f>IFERROR(VLOOKUP(A54,Contracts!$A$4:$J$15,6,FALSE),0)</f>
        <v>1</v>
      </c>
      <c r="G54">
        <f>IFERROR(VLOOKUP(A54,Contracts!$A$4:$J$15,4,FALSE),0)</f>
        <v>12000</v>
      </c>
      <c r="H54">
        <f>IFERROR(VLOOKUP(D54,Settings!$A$4:$B$10,2,FALSE),1)</f>
        <v>1</v>
      </c>
      <c r="I54">
        <f>IFERROR(VLOOKUP(B54,'Supply Catalog'!$A$4:$J$13,5,FALSE),0)</f>
        <v>0.18</v>
      </c>
      <c r="J54" s="7">
        <f>ROUNDUP(E54*((I54*H54)+(G54*IFERROR(VLOOKUP(B54,'Supply Catalog'!$A$4:$J$13,6,FALSE),0))+(F54*IFERROR(VLOOKUP(B54,'Supply Catalog'!$A$4:$J$13,7,FALSE),0))),1)</f>
        <v>2.1</v>
      </c>
      <c r="K54" s="7">
        <f t="shared" si="1"/>
        <v>9.1</v>
      </c>
      <c r="L54" t="str">
        <f>IFERROR(VLOOKUP(A54,Contracts!$A$4:$J$15,7,FALSE),"")</f>
        <v>Normal</v>
      </c>
    </row>
    <row r="55" spans="1:12">
      <c r="A55" t="s">
        <v>97</v>
      </c>
      <c r="B55" t="s">
        <v>179</v>
      </c>
      <c r="C55" t="s">
        <v>180</v>
      </c>
      <c r="D55" t="str">
        <f>IFERROR(VLOOKUP(A55,Contracts!$A$4:$J$15,3,FALSE),"")</f>
        <v>Office</v>
      </c>
      <c r="E55">
        <f>IFERROR(VLOOKUP(A55,Contracts!$A$4:$J$15,10,FALSE),0)</f>
        <v>5</v>
      </c>
      <c r="F55">
        <f>IFERROR(VLOOKUP(A55,Contracts!$A$4:$J$15,6,FALSE),0)</f>
        <v>1</v>
      </c>
      <c r="G55">
        <f>IFERROR(VLOOKUP(A55,Contracts!$A$4:$J$15,4,FALSE),0)</f>
        <v>12000</v>
      </c>
      <c r="H55">
        <f>IFERROR(VLOOKUP(D55,Settings!$A$4:$B$10,2,FALSE),1)</f>
        <v>1</v>
      </c>
      <c r="I55">
        <f>IFERROR(VLOOKUP(B55,'Supply Catalog'!$A$4:$J$13,5,FALSE),0)</f>
        <v>0.45</v>
      </c>
      <c r="J55" s="7">
        <f>ROUNDUP(E55*((I55*H55)+(G55*IFERROR(VLOOKUP(B55,'Supply Catalog'!$A$4:$J$13,6,FALSE),0))+(F55*IFERROR(VLOOKUP(B55,'Supply Catalog'!$A$4:$J$13,7,FALSE),0))),1)</f>
        <v>3.1</v>
      </c>
      <c r="K55" s="7">
        <f t="shared" si="1"/>
        <v>13.5</v>
      </c>
      <c r="L55" t="str">
        <f>IFERROR(VLOOKUP(A55,Contracts!$A$4:$J$15,7,FALSE),"")</f>
        <v>Normal</v>
      </c>
    </row>
    <row r="56" spans="1:12">
      <c r="A56" t="s">
        <v>97</v>
      </c>
      <c r="B56" t="s">
        <v>184</v>
      </c>
      <c r="C56" t="s">
        <v>185</v>
      </c>
      <c r="D56" t="str">
        <f>IFERROR(VLOOKUP(A56,Contracts!$A$4:$J$15,3,FALSE),"")</f>
        <v>Office</v>
      </c>
      <c r="E56">
        <f>IFERROR(VLOOKUP(A56,Contracts!$A$4:$J$15,10,FALSE),0)</f>
        <v>5</v>
      </c>
      <c r="F56">
        <f>IFERROR(VLOOKUP(A56,Contracts!$A$4:$J$15,6,FALSE),0)</f>
        <v>1</v>
      </c>
      <c r="G56">
        <f>IFERROR(VLOOKUP(A56,Contracts!$A$4:$J$15,4,FALSE),0)</f>
        <v>12000</v>
      </c>
      <c r="H56">
        <f>IFERROR(VLOOKUP(D56,Settings!$A$4:$B$10,2,FALSE),1)</f>
        <v>1</v>
      </c>
      <c r="I56">
        <f>IFERROR(VLOOKUP(B56,'Supply Catalog'!$A$4:$J$13,5,FALSE),0)</f>
        <v>0.12</v>
      </c>
      <c r="J56" s="7">
        <f>ROUNDUP(E56*((I56*H56)+(G56*IFERROR(VLOOKUP(B56,'Supply Catalog'!$A$4:$J$13,6,FALSE),0))+(F56*IFERROR(VLOOKUP(B56,'Supply Catalog'!$A$4:$J$13,7,FALSE),0))),1)</f>
        <v>2</v>
      </c>
      <c r="K56" s="7">
        <f t="shared" si="1"/>
        <v>8.6999999999999993</v>
      </c>
      <c r="L56" t="str">
        <f>IFERROR(VLOOKUP(A56,Contracts!$A$4:$J$15,7,FALSE),"")</f>
        <v>Normal</v>
      </c>
    </row>
    <row r="57" spans="1:12">
      <c r="A57" t="s">
        <v>97</v>
      </c>
      <c r="B57" t="s">
        <v>190</v>
      </c>
      <c r="C57" t="s">
        <v>191</v>
      </c>
      <c r="D57" t="str">
        <f>IFERROR(VLOOKUP(A57,Contracts!$A$4:$J$15,3,FALSE),"")</f>
        <v>Office</v>
      </c>
      <c r="E57">
        <f>IFERROR(VLOOKUP(A57,Contracts!$A$4:$J$15,10,FALSE),0)</f>
        <v>5</v>
      </c>
      <c r="F57">
        <f>IFERROR(VLOOKUP(A57,Contracts!$A$4:$J$15,6,FALSE),0)</f>
        <v>1</v>
      </c>
      <c r="G57">
        <f>IFERROR(VLOOKUP(A57,Contracts!$A$4:$J$15,4,FALSE),0)</f>
        <v>12000</v>
      </c>
      <c r="H57">
        <f>IFERROR(VLOOKUP(D57,Settings!$A$4:$B$10,2,FALSE),1)</f>
        <v>1</v>
      </c>
      <c r="I57">
        <f>IFERROR(VLOOKUP(B57,'Supply Catalog'!$A$4:$J$13,5,FALSE),0)</f>
        <v>0.08</v>
      </c>
      <c r="J57" s="7">
        <f>ROUNDUP(E57*((I57*H57)+(G57*IFERROR(VLOOKUP(B57,'Supply Catalog'!$A$4:$J$13,6,FALSE),0))+(F57*IFERROR(VLOOKUP(B57,'Supply Catalog'!$A$4:$J$13,7,FALSE),0))),1)</f>
        <v>1.2000000000000002</v>
      </c>
      <c r="K57" s="7">
        <f t="shared" si="1"/>
        <v>5.1999999999999993</v>
      </c>
      <c r="L57" t="str">
        <f>IFERROR(VLOOKUP(A57,Contracts!$A$4:$J$15,7,FALSE),"")</f>
        <v>Normal</v>
      </c>
    </row>
    <row r="58" spans="1:12">
      <c r="A58" t="s">
        <v>97</v>
      </c>
      <c r="B58" t="s">
        <v>193</v>
      </c>
      <c r="C58" t="s">
        <v>194</v>
      </c>
      <c r="D58" t="str">
        <f>IFERROR(VLOOKUP(A58,Contracts!$A$4:$J$15,3,FALSE),"")</f>
        <v>Office</v>
      </c>
      <c r="E58">
        <f>IFERROR(VLOOKUP(A58,Contracts!$A$4:$J$15,10,FALSE),0)</f>
        <v>5</v>
      </c>
      <c r="F58">
        <f>IFERROR(VLOOKUP(A58,Contracts!$A$4:$J$15,6,FALSE),0)</f>
        <v>1</v>
      </c>
      <c r="G58">
        <f>IFERROR(VLOOKUP(A58,Contracts!$A$4:$J$15,4,FALSE),0)</f>
        <v>12000</v>
      </c>
      <c r="H58">
        <f>IFERROR(VLOOKUP(D58,Settings!$A$4:$B$10,2,FALSE),1)</f>
        <v>1</v>
      </c>
      <c r="I58">
        <f>IFERROR(VLOOKUP(B58,'Supply Catalog'!$A$4:$J$13,5,FALSE),0)</f>
        <v>0.2</v>
      </c>
      <c r="J58" s="7">
        <f>ROUNDUP(E58*((I58*H58)+(G58*IFERROR(VLOOKUP(B58,'Supply Catalog'!$A$4:$J$13,6,FALSE),0))+(F58*IFERROR(VLOOKUP(B58,'Supply Catalog'!$A$4:$J$13,7,FALSE),0))),1)</f>
        <v>2.4</v>
      </c>
      <c r="K58" s="7">
        <f t="shared" si="1"/>
        <v>10.4</v>
      </c>
      <c r="L58" t="str">
        <f>IFERROR(VLOOKUP(A58,Contracts!$A$4:$J$15,7,FALSE),"")</f>
        <v>Normal</v>
      </c>
    </row>
    <row r="59" spans="1:12">
      <c r="A59" t="s">
        <v>97</v>
      </c>
      <c r="B59" t="s">
        <v>197</v>
      </c>
      <c r="C59" t="s">
        <v>198</v>
      </c>
      <c r="D59" t="str">
        <f>IFERROR(VLOOKUP(A59,Contracts!$A$4:$J$15,3,FALSE),"")</f>
        <v>Office</v>
      </c>
      <c r="E59">
        <f>IFERROR(VLOOKUP(A59,Contracts!$A$4:$J$15,10,FALSE),0)</f>
        <v>5</v>
      </c>
      <c r="F59">
        <f>IFERROR(VLOOKUP(A59,Contracts!$A$4:$J$15,6,FALSE),0)</f>
        <v>1</v>
      </c>
      <c r="G59">
        <f>IFERROR(VLOOKUP(A59,Contracts!$A$4:$J$15,4,FALSE),0)</f>
        <v>12000</v>
      </c>
      <c r="H59">
        <f>IFERROR(VLOOKUP(D59,Settings!$A$4:$B$10,2,FALSE),1)</f>
        <v>1</v>
      </c>
      <c r="I59">
        <f>IFERROR(VLOOKUP(B59,'Supply Catalog'!$A$4:$J$13,5,FALSE),0)</f>
        <v>0.16</v>
      </c>
      <c r="J59" s="7">
        <f>ROUNDUP(E59*((I59*H59)+(G59*IFERROR(VLOOKUP(B59,'Supply Catalog'!$A$4:$J$13,6,FALSE),0))+(F59*IFERROR(VLOOKUP(B59,'Supply Catalog'!$A$4:$J$13,7,FALSE),0))),1)</f>
        <v>2.1</v>
      </c>
      <c r="K59" s="7">
        <f t="shared" si="1"/>
        <v>9.1</v>
      </c>
      <c r="L59" t="str">
        <f>IFERROR(VLOOKUP(A59,Contracts!$A$4:$J$15,7,FALSE),"")</f>
        <v>Normal</v>
      </c>
    </row>
    <row r="60" spans="1:12">
      <c r="A60" t="s">
        <v>97</v>
      </c>
      <c r="B60" t="s">
        <v>199</v>
      </c>
      <c r="C60" t="s">
        <v>200</v>
      </c>
      <c r="D60" t="str">
        <f>IFERROR(VLOOKUP(A60,Contracts!$A$4:$J$15,3,FALSE),"")</f>
        <v>Office</v>
      </c>
      <c r="E60">
        <f>IFERROR(VLOOKUP(A60,Contracts!$A$4:$J$15,10,FALSE),0)</f>
        <v>5</v>
      </c>
      <c r="F60">
        <f>IFERROR(VLOOKUP(A60,Contracts!$A$4:$J$15,6,FALSE),0)</f>
        <v>1</v>
      </c>
      <c r="G60">
        <f>IFERROR(VLOOKUP(A60,Contracts!$A$4:$J$15,4,FALSE),0)</f>
        <v>12000</v>
      </c>
      <c r="H60">
        <f>IFERROR(VLOOKUP(D60,Settings!$A$4:$B$10,2,FALSE),1)</f>
        <v>1</v>
      </c>
      <c r="I60">
        <f>IFERROR(VLOOKUP(B60,'Supply Catalog'!$A$4:$J$13,5,FALSE),0)</f>
        <v>0.06</v>
      </c>
      <c r="J60" s="7">
        <f>ROUNDUP(E60*((I60*H60)+(G60*IFERROR(VLOOKUP(B60,'Supply Catalog'!$A$4:$J$13,6,FALSE),0))+(F60*IFERROR(VLOOKUP(B60,'Supply Catalog'!$A$4:$J$13,7,FALSE),0))),1)</f>
        <v>1</v>
      </c>
      <c r="K60" s="7">
        <f t="shared" si="1"/>
        <v>4.3999999999999995</v>
      </c>
      <c r="L60" t="str">
        <f>IFERROR(VLOOKUP(A60,Contracts!$A$4:$J$15,7,FALSE),"")</f>
        <v>Normal</v>
      </c>
    </row>
    <row r="61" spans="1:12">
      <c r="A61" t="s">
        <v>97</v>
      </c>
      <c r="B61" t="s">
        <v>204</v>
      </c>
      <c r="C61" t="s">
        <v>205</v>
      </c>
      <c r="D61" t="str">
        <f>IFERROR(VLOOKUP(A61,Contracts!$A$4:$J$15,3,FALSE),"")</f>
        <v>Office</v>
      </c>
      <c r="E61">
        <f>IFERROR(VLOOKUP(A61,Contracts!$A$4:$J$15,10,FALSE),0)</f>
        <v>5</v>
      </c>
      <c r="F61">
        <f>IFERROR(VLOOKUP(A61,Contracts!$A$4:$J$15,6,FALSE),0)</f>
        <v>1</v>
      </c>
      <c r="G61">
        <f>IFERROR(VLOOKUP(A61,Contracts!$A$4:$J$15,4,FALSE),0)</f>
        <v>12000</v>
      </c>
      <c r="H61">
        <f>IFERROR(VLOOKUP(D61,Settings!$A$4:$B$10,2,FALSE),1)</f>
        <v>1</v>
      </c>
      <c r="I61">
        <f>IFERROR(VLOOKUP(B61,'Supply Catalog'!$A$4:$J$13,5,FALSE),0)</f>
        <v>0.04</v>
      </c>
      <c r="J61" s="7">
        <f>ROUNDUP(E61*((I61*H61)+(G61*IFERROR(VLOOKUP(B61,'Supply Catalog'!$A$4:$J$13,6,FALSE),0))+(F61*IFERROR(VLOOKUP(B61,'Supply Catalog'!$A$4:$J$13,7,FALSE),0))),1)</f>
        <v>0.6</v>
      </c>
      <c r="K61" s="7">
        <f t="shared" si="1"/>
        <v>2.6</v>
      </c>
      <c r="L61" t="str">
        <f>IFERROR(VLOOKUP(A61,Contracts!$A$4:$J$15,7,FALSE),"")</f>
        <v>Normal</v>
      </c>
    </row>
    <row r="62" spans="1:12">
      <c r="A62" t="s">
        <v>97</v>
      </c>
      <c r="B62" t="s">
        <v>208</v>
      </c>
      <c r="C62" t="s">
        <v>209</v>
      </c>
      <c r="D62" t="str">
        <f>IFERROR(VLOOKUP(A62,Contracts!$A$4:$J$15,3,FALSE),"")</f>
        <v>Office</v>
      </c>
      <c r="E62">
        <f>IFERROR(VLOOKUP(A62,Contracts!$A$4:$J$15,10,FALSE),0)</f>
        <v>5</v>
      </c>
      <c r="F62">
        <f>IFERROR(VLOOKUP(A62,Contracts!$A$4:$J$15,6,FALSE),0)</f>
        <v>1</v>
      </c>
      <c r="G62">
        <f>IFERROR(VLOOKUP(A62,Contracts!$A$4:$J$15,4,FALSE),0)</f>
        <v>12000</v>
      </c>
      <c r="H62">
        <f>IFERROR(VLOOKUP(D62,Settings!$A$4:$B$10,2,FALSE),1)</f>
        <v>1</v>
      </c>
      <c r="I62">
        <f>IFERROR(VLOOKUP(B62,'Supply Catalog'!$A$4:$J$13,5,FALSE),0)</f>
        <v>0.1</v>
      </c>
      <c r="J62" s="7">
        <f>ROUNDUP(E62*((I62*H62)+(G62*IFERROR(VLOOKUP(B62,'Supply Catalog'!$A$4:$J$13,6,FALSE),0))+(F62*IFERROR(VLOOKUP(B62,'Supply Catalog'!$A$4:$J$13,7,FALSE),0))),1)</f>
        <v>1.8</v>
      </c>
      <c r="K62" s="7">
        <f t="shared" si="1"/>
        <v>7.8</v>
      </c>
      <c r="L62" t="str">
        <f>IFERROR(VLOOKUP(A62,Contracts!$A$4:$J$15,7,FALSE),"")</f>
        <v>Normal</v>
      </c>
    </row>
    <row r="63" spans="1:12">
      <c r="A63" t="s">
        <v>97</v>
      </c>
      <c r="B63" t="s">
        <v>211</v>
      </c>
      <c r="C63" t="s">
        <v>212</v>
      </c>
      <c r="D63" t="str">
        <f>IFERROR(VLOOKUP(A63,Contracts!$A$4:$J$15,3,FALSE),"")</f>
        <v>Office</v>
      </c>
      <c r="E63">
        <f>IFERROR(VLOOKUP(A63,Contracts!$A$4:$J$15,10,FALSE),0)</f>
        <v>5</v>
      </c>
      <c r="F63">
        <f>IFERROR(VLOOKUP(A63,Contracts!$A$4:$J$15,6,FALSE),0)</f>
        <v>1</v>
      </c>
      <c r="G63">
        <f>IFERROR(VLOOKUP(A63,Contracts!$A$4:$J$15,4,FALSE),0)</f>
        <v>12000</v>
      </c>
      <c r="H63">
        <f>IFERROR(VLOOKUP(D63,Settings!$A$4:$B$10,2,FALSE),1)</f>
        <v>1</v>
      </c>
      <c r="I63">
        <f>IFERROR(VLOOKUP(B63,'Supply Catalog'!$A$4:$J$13,5,FALSE),0)</f>
        <v>0.1</v>
      </c>
      <c r="J63" s="7">
        <f>ROUNDUP(E63*((I63*H63)+(G63*IFERROR(VLOOKUP(B63,'Supply Catalog'!$A$4:$J$13,6,FALSE),0))+(F63*IFERROR(VLOOKUP(B63,'Supply Catalog'!$A$4:$J$13,7,FALSE),0))),1)</f>
        <v>1.4000000000000001</v>
      </c>
      <c r="K63" s="7">
        <f t="shared" si="1"/>
        <v>6.1</v>
      </c>
      <c r="L63" t="str">
        <f>IFERROR(VLOOKUP(A63,Contracts!$A$4:$J$15,7,FALSE),"")</f>
        <v>Normal</v>
      </c>
    </row>
    <row r="64" spans="1:12">
      <c r="A64" t="s">
        <v>99</v>
      </c>
      <c r="B64" t="s">
        <v>173</v>
      </c>
      <c r="C64" t="s">
        <v>174</v>
      </c>
      <c r="D64" t="str">
        <f>IFERROR(VLOOKUP(A64,Contracts!$A$4:$J$15,3,FALSE),"")</f>
        <v>Education</v>
      </c>
      <c r="E64">
        <f>IFERROR(VLOOKUP(A64,Contracts!$A$4:$J$15,10,FALSE),0)</f>
        <v>6</v>
      </c>
      <c r="F64">
        <f>IFERROR(VLOOKUP(A64,Contracts!$A$4:$J$15,6,FALSE),0)</f>
        <v>2</v>
      </c>
      <c r="G64">
        <f>IFERROR(VLOOKUP(A64,Contracts!$A$4:$J$15,4,FALSE),0)</f>
        <v>47000</v>
      </c>
      <c r="H64">
        <f>IFERROR(VLOOKUP(D64,Settings!$A$4:$B$10,2,FALSE),1)</f>
        <v>2</v>
      </c>
      <c r="I64">
        <f>IFERROR(VLOOKUP(B64,'Supply Catalog'!$A$4:$J$13,5,FALSE),0)</f>
        <v>0.18</v>
      </c>
      <c r="J64" s="7">
        <f>ROUNDUP(E64*((I64*H64)+(G64*IFERROR(VLOOKUP(B64,'Supply Catalog'!$A$4:$J$13,6,FALSE),0))+(F64*IFERROR(VLOOKUP(B64,'Supply Catalog'!$A$4:$J$13,7,FALSE),0))),1)</f>
        <v>7</v>
      </c>
      <c r="K64" s="7">
        <f t="shared" si="1"/>
        <v>30.400000000000002</v>
      </c>
      <c r="L64" t="str">
        <f>IFERROR(VLOOKUP(A64,Contracts!$A$4:$J$15,7,FALSE),"")</f>
        <v>High</v>
      </c>
    </row>
    <row r="65" spans="1:12">
      <c r="A65" t="s">
        <v>99</v>
      </c>
      <c r="B65" t="s">
        <v>179</v>
      </c>
      <c r="C65" t="s">
        <v>180</v>
      </c>
      <c r="D65" t="str">
        <f>IFERROR(VLOOKUP(A65,Contracts!$A$4:$J$15,3,FALSE),"")</f>
        <v>Education</v>
      </c>
      <c r="E65">
        <f>IFERROR(VLOOKUP(A65,Contracts!$A$4:$J$15,10,FALSE),0)</f>
        <v>6</v>
      </c>
      <c r="F65">
        <f>IFERROR(VLOOKUP(A65,Contracts!$A$4:$J$15,6,FALSE),0)</f>
        <v>2</v>
      </c>
      <c r="G65">
        <f>IFERROR(VLOOKUP(A65,Contracts!$A$4:$J$15,4,FALSE),0)</f>
        <v>47000</v>
      </c>
      <c r="H65">
        <f>IFERROR(VLOOKUP(D65,Settings!$A$4:$B$10,2,FALSE),1)</f>
        <v>2</v>
      </c>
      <c r="I65">
        <f>IFERROR(VLOOKUP(B65,'Supply Catalog'!$A$4:$J$13,5,FALSE),0)</f>
        <v>0.45</v>
      </c>
      <c r="J65" s="7">
        <f>ROUNDUP(E65*((I65*H65)+(G65*IFERROR(VLOOKUP(B65,'Supply Catalog'!$A$4:$J$13,6,FALSE),0))+(F65*IFERROR(VLOOKUP(B65,'Supply Catalog'!$A$4:$J$13,7,FALSE),0))),1)</f>
        <v>8.1</v>
      </c>
      <c r="K65" s="7">
        <f t="shared" si="1"/>
        <v>35.1</v>
      </c>
      <c r="L65" t="str">
        <f>IFERROR(VLOOKUP(A65,Contracts!$A$4:$J$15,7,FALSE),"")</f>
        <v>High</v>
      </c>
    </row>
    <row r="66" spans="1:12">
      <c r="A66" t="s">
        <v>99</v>
      </c>
      <c r="B66" t="s">
        <v>184</v>
      </c>
      <c r="C66" t="s">
        <v>185</v>
      </c>
      <c r="D66" t="str">
        <f>IFERROR(VLOOKUP(A66,Contracts!$A$4:$J$15,3,FALSE),"")</f>
        <v>Education</v>
      </c>
      <c r="E66">
        <f>IFERROR(VLOOKUP(A66,Contracts!$A$4:$J$15,10,FALSE),0)</f>
        <v>6</v>
      </c>
      <c r="F66">
        <f>IFERROR(VLOOKUP(A66,Contracts!$A$4:$J$15,6,FALSE),0)</f>
        <v>2</v>
      </c>
      <c r="G66">
        <f>IFERROR(VLOOKUP(A66,Contracts!$A$4:$J$15,4,FALSE),0)</f>
        <v>47000</v>
      </c>
      <c r="H66">
        <f>IFERROR(VLOOKUP(D66,Settings!$A$4:$B$10,2,FALSE),1)</f>
        <v>2</v>
      </c>
      <c r="I66">
        <f>IFERROR(VLOOKUP(B66,'Supply Catalog'!$A$4:$J$13,5,FALSE),0)</f>
        <v>0.12</v>
      </c>
      <c r="J66" s="7">
        <f>ROUNDUP(E66*((I66*H66)+(G66*IFERROR(VLOOKUP(B66,'Supply Catalog'!$A$4:$J$13,6,FALSE),0))+(F66*IFERROR(VLOOKUP(B66,'Supply Catalog'!$A$4:$J$13,7,FALSE),0))),1)</f>
        <v>7.6</v>
      </c>
      <c r="K66" s="7">
        <f t="shared" si="1"/>
        <v>33</v>
      </c>
      <c r="L66" t="str">
        <f>IFERROR(VLOOKUP(A66,Contracts!$A$4:$J$15,7,FALSE),"")</f>
        <v>High</v>
      </c>
    </row>
    <row r="67" spans="1:12">
      <c r="A67" t="s">
        <v>99</v>
      </c>
      <c r="B67" t="s">
        <v>190</v>
      </c>
      <c r="C67" t="s">
        <v>191</v>
      </c>
      <c r="D67" t="str">
        <f>IFERROR(VLOOKUP(A67,Contracts!$A$4:$J$15,3,FALSE),"")</f>
        <v>Education</v>
      </c>
      <c r="E67">
        <f>IFERROR(VLOOKUP(A67,Contracts!$A$4:$J$15,10,FALSE),0)</f>
        <v>6</v>
      </c>
      <c r="F67">
        <f>IFERROR(VLOOKUP(A67,Contracts!$A$4:$J$15,6,FALSE),0)</f>
        <v>2</v>
      </c>
      <c r="G67">
        <f>IFERROR(VLOOKUP(A67,Contracts!$A$4:$J$15,4,FALSE),0)</f>
        <v>47000</v>
      </c>
      <c r="H67">
        <f>IFERROR(VLOOKUP(D67,Settings!$A$4:$B$10,2,FALSE),1)</f>
        <v>2</v>
      </c>
      <c r="I67">
        <f>IFERROR(VLOOKUP(B67,'Supply Catalog'!$A$4:$J$13,5,FALSE),0)</f>
        <v>0.08</v>
      </c>
      <c r="J67" s="7">
        <f>ROUNDUP(E67*((I67*H67)+(G67*IFERROR(VLOOKUP(B67,'Supply Catalog'!$A$4:$J$13,6,FALSE),0))+(F67*IFERROR(VLOOKUP(B67,'Supply Catalog'!$A$4:$J$13,7,FALSE),0))),1)</f>
        <v>4.1999999999999993</v>
      </c>
      <c r="K67" s="7">
        <f t="shared" si="1"/>
        <v>18.200000000000003</v>
      </c>
      <c r="L67" t="str">
        <f>IFERROR(VLOOKUP(A67,Contracts!$A$4:$J$15,7,FALSE),"")</f>
        <v>High</v>
      </c>
    </row>
    <row r="68" spans="1:12">
      <c r="A68" t="s">
        <v>99</v>
      </c>
      <c r="B68" t="s">
        <v>193</v>
      </c>
      <c r="C68" t="s">
        <v>194</v>
      </c>
      <c r="D68" t="str">
        <f>IFERROR(VLOOKUP(A68,Contracts!$A$4:$J$15,3,FALSE),"")</f>
        <v>Education</v>
      </c>
      <c r="E68">
        <f>IFERROR(VLOOKUP(A68,Contracts!$A$4:$J$15,10,FALSE),0)</f>
        <v>6</v>
      </c>
      <c r="F68">
        <f>IFERROR(VLOOKUP(A68,Contracts!$A$4:$J$15,6,FALSE),0)</f>
        <v>2</v>
      </c>
      <c r="G68">
        <f>IFERROR(VLOOKUP(A68,Contracts!$A$4:$J$15,4,FALSE),0)</f>
        <v>47000</v>
      </c>
      <c r="H68">
        <f>IFERROR(VLOOKUP(D68,Settings!$A$4:$B$10,2,FALSE),1)</f>
        <v>2</v>
      </c>
      <c r="I68">
        <f>IFERROR(VLOOKUP(B68,'Supply Catalog'!$A$4:$J$13,5,FALSE),0)</f>
        <v>0.2</v>
      </c>
      <c r="J68" s="7">
        <f>ROUNDUP(E68*((I68*H68)+(G68*IFERROR(VLOOKUP(B68,'Supply Catalog'!$A$4:$J$13,6,FALSE),0))+(F68*IFERROR(VLOOKUP(B68,'Supply Catalog'!$A$4:$J$13,7,FALSE),0))),1)</f>
        <v>8.6</v>
      </c>
      <c r="K68" s="7">
        <f t="shared" ref="K68:K99" si="2">ROUNDUP(J68*4.33,1)</f>
        <v>37.300000000000004</v>
      </c>
      <c r="L68" t="str">
        <f>IFERROR(VLOOKUP(A68,Contracts!$A$4:$J$15,7,FALSE),"")</f>
        <v>High</v>
      </c>
    </row>
    <row r="69" spans="1:12">
      <c r="A69" t="s">
        <v>99</v>
      </c>
      <c r="B69" t="s">
        <v>197</v>
      </c>
      <c r="C69" t="s">
        <v>198</v>
      </c>
      <c r="D69" t="str">
        <f>IFERROR(VLOOKUP(A69,Contracts!$A$4:$J$15,3,FALSE),"")</f>
        <v>Education</v>
      </c>
      <c r="E69">
        <f>IFERROR(VLOOKUP(A69,Contracts!$A$4:$J$15,10,FALSE),0)</f>
        <v>6</v>
      </c>
      <c r="F69">
        <f>IFERROR(VLOOKUP(A69,Contracts!$A$4:$J$15,6,FALSE),0)</f>
        <v>2</v>
      </c>
      <c r="G69">
        <f>IFERROR(VLOOKUP(A69,Contracts!$A$4:$J$15,4,FALSE),0)</f>
        <v>47000</v>
      </c>
      <c r="H69">
        <f>IFERROR(VLOOKUP(D69,Settings!$A$4:$B$10,2,FALSE),1)</f>
        <v>2</v>
      </c>
      <c r="I69">
        <f>IFERROR(VLOOKUP(B69,'Supply Catalog'!$A$4:$J$13,5,FALSE),0)</f>
        <v>0.16</v>
      </c>
      <c r="J69" s="7">
        <f>ROUNDUP(E69*((I69*H69)+(G69*IFERROR(VLOOKUP(B69,'Supply Catalog'!$A$4:$J$13,6,FALSE),0))+(F69*IFERROR(VLOOKUP(B69,'Supply Catalog'!$A$4:$J$13,7,FALSE),0))),1)</f>
        <v>7.5</v>
      </c>
      <c r="K69" s="7">
        <f t="shared" si="2"/>
        <v>32.5</v>
      </c>
      <c r="L69" t="str">
        <f>IFERROR(VLOOKUP(A69,Contracts!$A$4:$J$15,7,FALSE),"")</f>
        <v>High</v>
      </c>
    </row>
    <row r="70" spans="1:12">
      <c r="A70" t="s">
        <v>99</v>
      </c>
      <c r="B70" t="s">
        <v>199</v>
      </c>
      <c r="C70" t="s">
        <v>200</v>
      </c>
      <c r="D70" t="str">
        <f>IFERROR(VLOOKUP(A70,Contracts!$A$4:$J$15,3,FALSE),"")</f>
        <v>Education</v>
      </c>
      <c r="E70">
        <f>IFERROR(VLOOKUP(A70,Contracts!$A$4:$J$15,10,FALSE),0)</f>
        <v>6</v>
      </c>
      <c r="F70">
        <f>IFERROR(VLOOKUP(A70,Contracts!$A$4:$J$15,6,FALSE),0)</f>
        <v>2</v>
      </c>
      <c r="G70">
        <f>IFERROR(VLOOKUP(A70,Contracts!$A$4:$J$15,4,FALSE),0)</f>
        <v>47000</v>
      </c>
      <c r="H70">
        <f>IFERROR(VLOOKUP(D70,Settings!$A$4:$B$10,2,FALSE),1)</f>
        <v>2</v>
      </c>
      <c r="I70">
        <f>IFERROR(VLOOKUP(B70,'Supply Catalog'!$A$4:$J$13,5,FALSE),0)</f>
        <v>0.06</v>
      </c>
      <c r="J70" s="7">
        <f>ROUNDUP(E70*((I70*H70)+(G70*IFERROR(VLOOKUP(B70,'Supply Catalog'!$A$4:$J$13,6,FALSE),0))+(F70*IFERROR(VLOOKUP(B70,'Supply Catalog'!$A$4:$J$13,7,FALSE),0))),1)</f>
        <v>3.1</v>
      </c>
      <c r="K70" s="7">
        <f t="shared" si="2"/>
        <v>13.5</v>
      </c>
      <c r="L70" t="str">
        <f>IFERROR(VLOOKUP(A70,Contracts!$A$4:$J$15,7,FALSE),"")</f>
        <v>High</v>
      </c>
    </row>
    <row r="71" spans="1:12">
      <c r="A71" t="s">
        <v>99</v>
      </c>
      <c r="B71" t="s">
        <v>204</v>
      </c>
      <c r="C71" t="s">
        <v>205</v>
      </c>
      <c r="D71" t="str">
        <f>IFERROR(VLOOKUP(A71,Contracts!$A$4:$J$15,3,FALSE),"")</f>
        <v>Education</v>
      </c>
      <c r="E71">
        <f>IFERROR(VLOOKUP(A71,Contracts!$A$4:$J$15,10,FALSE),0)</f>
        <v>6</v>
      </c>
      <c r="F71">
        <f>IFERROR(VLOOKUP(A71,Contracts!$A$4:$J$15,6,FALSE),0)</f>
        <v>2</v>
      </c>
      <c r="G71">
        <f>IFERROR(VLOOKUP(A71,Contracts!$A$4:$J$15,4,FALSE),0)</f>
        <v>47000</v>
      </c>
      <c r="H71">
        <f>IFERROR(VLOOKUP(D71,Settings!$A$4:$B$10,2,FALSE),1)</f>
        <v>2</v>
      </c>
      <c r="I71">
        <f>IFERROR(VLOOKUP(B71,'Supply Catalog'!$A$4:$J$13,5,FALSE),0)</f>
        <v>0.04</v>
      </c>
      <c r="J71" s="7">
        <f>ROUNDUP(E71*((I71*H71)+(G71*IFERROR(VLOOKUP(B71,'Supply Catalog'!$A$4:$J$13,6,FALSE),0))+(F71*IFERROR(VLOOKUP(B71,'Supply Catalog'!$A$4:$J$13,7,FALSE),0))),1)</f>
        <v>1.9000000000000001</v>
      </c>
      <c r="K71" s="7">
        <f t="shared" si="2"/>
        <v>8.2999999999999989</v>
      </c>
      <c r="L71" t="str">
        <f>IFERROR(VLOOKUP(A71,Contracts!$A$4:$J$15,7,FALSE),"")</f>
        <v>High</v>
      </c>
    </row>
    <row r="72" spans="1:12">
      <c r="A72" t="s">
        <v>99</v>
      </c>
      <c r="B72" t="s">
        <v>208</v>
      </c>
      <c r="C72" t="s">
        <v>209</v>
      </c>
      <c r="D72" t="str">
        <f>IFERROR(VLOOKUP(A72,Contracts!$A$4:$J$15,3,FALSE),"")</f>
        <v>Education</v>
      </c>
      <c r="E72">
        <f>IFERROR(VLOOKUP(A72,Contracts!$A$4:$J$15,10,FALSE),0)</f>
        <v>6</v>
      </c>
      <c r="F72">
        <f>IFERROR(VLOOKUP(A72,Contracts!$A$4:$J$15,6,FALSE),0)</f>
        <v>2</v>
      </c>
      <c r="G72">
        <f>IFERROR(VLOOKUP(A72,Contracts!$A$4:$J$15,4,FALSE),0)</f>
        <v>47000</v>
      </c>
      <c r="H72">
        <f>IFERROR(VLOOKUP(D72,Settings!$A$4:$B$10,2,FALSE),1)</f>
        <v>2</v>
      </c>
      <c r="I72">
        <f>IFERROR(VLOOKUP(B72,'Supply Catalog'!$A$4:$J$13,5,FALSE),0)</f>
        <v>0.1</v>
      </c>
      <c r="J72" s="7">
        <f>ROUNDUP(E72*((I72*H72)+(G72*IFERROR(VLOOKUP(B72,'Supply Catalog'!$A$4:$J$13,6,FALSE),0))+(F72*IFERROR(VLOOKUP(B72,'Supply Catalog'!$A$4:$J$13,7,FALSE),0))),1)</f>
        <v>6.8</v>
      </c>
      <c r="K72" s="7">
        <f t="shared" si="2"/>
        <v>29.5</v>
      </c>
      <c r="L72" t="str">
        <f>IFERROR(VLOOKUP(A72,Contracts!$A$4:$J$15,7,FALSE),"")</f>
        <v>High</v>
      </c>
    </row>
    <row r="73" spans="1:12">
      <c r="A73" t="s">
        <v>99</v>
      </c>
      <c r="B73" t="s">
        <v>211</v>
      </c>
      <c r="C73" t="s">
        <v>212</v>
      </c>
      <c r="D73" t="str">
        <f>IFERROR(VLOOKUP(A73,Contracts!$A$4:$J$15,3,FALSE),"")</f>
        <v>Education</v>
      </c>
      <c r="E73">
        <f>IFERROR(VLOOKUP(A73,Contracts!$A$4:$J$15,10,FALSE),0)</f>
        <v>6</v>
      </c>
      <c r="F73">
        <f>IFERROR(VLOOKUP(A73,Contracts!$A$4:$J$15,6,FALSE),0)</f>
        <v>2</v>
      </c>
      <c r="G73">
        <f>IFERROR(VLOOKUP(A73,Contracts!$A$4:$J$15,4,FALSE),0)</f>
        <v>47000</v>
      </c>
      <c r="H73">
        <f>IFERROR(VLOOKUP(D73,Settings!$A$4:$B$10,2,FALSE),1)</f>
        <v>2</v>
      </c>
      <c r="I73">
        <f>IFERROR(VLOOKUP(B73,'Supply Catalog'!$A$4:$J$13,5,FALSE),0)</f>
        <v>0.1</v>
      </c>
      <c r="J73" s="7">
        <f>ROUNDUP(E73*((I73*H73)+(G73*IFERROR(VLOOKUP(B73,'Supply Catalog'!$A$4:$J$13,6,FALSE),0))+(F73*IFERROR(VLOOKUP(B73,'Supply Catalog'!$A$4:$J$13,7,FALSE),0))),1)</f>
        <v>5</v>
      </c>
      <c r="K73" s="7">
        <f t="shared" si="2"/>
        <v>21.700000000000003</v>
      </c>
      <c r="L73" t="str">
        <f>IFERROR(VLOOKUP(A73,Contracts!$A$4:$J$15,7,FALSE),"")</f>
        <v>High</v>
      </c>
    </row>
    <row r="74" spans="1:12">
      <c r="A74" t="s">
        <v>101</v>
      </c>
      <c r="B74" t="s">
        <v>173</v>
      </c>
      <c r="C74" t="s">
        <v>174</v>
      </c>
      <c r="D74" t="str">
        <f>IFERROR(VLOOKUP(A74,Contracts!$A$4:$J$15,3,FALSE),"")</f>
        <v>Industrial</v>
      </c>
      <c r="E74">
        <f>IFERROR(VLOOKUP(A74,Contracts!$A$4:$J$15,10,FALSE),0)</f>
        <v>6</v>
      </c>
      <c r="F74">
        <f>IFERROR(VLOOKUP(A74,Contracts!$A$4:$J$15,6,FALSE),0)</f>
        <v>1</v>
      </c>
      <c r="G74">
        <f>IFERROR(VLOOKUP(A74,Contracts!$A$4:$J$15,4,FALSE),0)</f>
        <v>8000</v>
      </c>
      <c r="H74">
        <f>IFERROR(VLOOKUP(D74,Settings!$A$4:$B$10,2,FALSE),1)</f>
        <v>1.7</v>
      </c>
      <c r="I74">
        <f>IFERROR(VLOOKUP(B74,'Supply Catalog'!$A$4:$J$13,5,FALSE),0)</f>
        <v>0.18</v>
      </c>
      <c r="J74" s="7">
        <f>ROUNDUP(E74*((I74*H74)+(G74*IFERROR(VLOOKUP(B74,'Supply Catalog'!$A$4:$J$13,6,FALSE),0))+(F74*IFERROR(VLOOKUP(B74,'Supply Catalog'!$A$4:$J$13,7,FALSE),0))),1)</f>
        <v>2.9</v>
      </c>
      <c r="K74" s="7">
        <f t="shared" si="2"/>
        <v>12.6</v>
      </c>
      <c r="L74" t="str">
        <f>IFERROR(VLOOKUP(A74,Contracts!$A$4:$J$15,7,FALSE),"")</f>
        <v>Normal</v>
      </c>
    </row>
    <row r="75" spans="1:12">
      <c r="A75" t="s">
        <v>101</v>
      </c>
      <c r="B75" t="s">
        <v>179</v>
      </c>
      <c r="C75" t="s">
        <v>180</v>
      </c>
      <c r="D75" t="str">
        <f>IFERROR(VLOOKUP(A75,Contracts!$A$4:$J$15,3,FALSE),"")</f>
        <v>Industrial</v>
      </c>
      <c r="E75">
        <f>IFERROR(VLOOKUP(A75,Contracts!$A$4:$J$15,10,FALSE),0)</f>
        <v>6</v>
      </c>
      <c r="F75">
        <f>IFERROR(VLOOKUP(A75,Contracts!$A$4:$J$15,6,FALSE),0)</f>
        <v>1</v>
      </c>
      <c r="G75">
        <f>IFERROR(VLOOKUP(A75,Contracts!$A$4:$J$15,4,FALSE),0)</f>
        <v>8000</v>
      </c>
      <c r="H75">
        <f>IFERROR(VLOOKUP(D75,Settings!$A$4:$B$10,2,FALSE),1)</f>
        <v>1.7</v>
      </c>
      <c r="I75">
        <f>IFERROR(VLOOKUP(B75,'Supply Catalog'!$A$4:$J$13,5,FALSE),0)</f>
        <v>0.45</v>
      </c>
      <c r="J75" s="7">
        <f>ROUNDUP(E75*((I75*H75)+(G75*IFERROR(VLOOKUP(B75,'Supply Catalog'!$A$4:$J$13,6,FALSE),0))+(F75*IFERROR(VLOOKUP(B75,'Supply Catalog'!$A$4:$J$13,7,FALSE),0))),1)</f>
        <v>5.5</v>
      </c>
      <c r="K75" s="7">
        <f t="shared" si="2"/>
        <v>23.900000000000002</v>
      </c>
      <c r="L75" t="str">
        <f>IFERROR(VLOOKUP(A75,Contracts!$A$4:$J$15,7,FALSE),"")</f>
        <v>Normal</v>
      </c>
    </row>
    <row r="76" spans="1:12">
      <c r="A76" t="s">
        <v>101</v>
      </c>
      <c r="B76" t="s">
        <v>184</v>
      </c>
      <c r="C76" t="s">
        <v>185</v>
      </c>
      <c r="D76" t="str">
        <f>IFERROR(VLOOKUP(A76,Contracts!$A$4:$J$15,3,FALSE),"")</f>
        <v>Industrial</v>
      </c>
      <c r="E76">
        <f>IFERROR(VLOOKUP(A76,Contracts!$A$4:$J$15,10,FALSE),0)</f>
        <v>6</v>
      </c>
      <c r="F76">
        <f>IFERROR(VLOOKUP(A76,Contracts!$A$4:$J$15,6,FALSE),0)</f>
        <v>1</v>
      </c>
      <c r="G76">
        <f>IFERROR(VLOOKUP(A76,Contracts!$A$4:$J$15,4,FALSE),0)</f>
        <v>8000</v>
      </c>
      <c r="H76">
        <f>IFERROR(VLOOKUP(D76,Settings!$A$4:$B$10,2,FALSE),1)</f>
        <v>1.7</v>
      </c>
      <c r="I76">
        <f>IFERROR(VLOOKUP(B76,'Supply Catalog'!$A$4:$J$13,5,FALSE),0)</f>
        <v>0.12</v>
      </c>
      <c r="J76" s="7">
        <f>ROUNDUP(E76*((I76*H76)+(G76*IFERROR(VLOOKUP(B76,'Supply Catalog'!$A$4:$J$13,6,FALSE),0))+(F76*IFERROR(VLOOKUP(B76,'Supply Catalog'!$A$4:$J$13,7,FALSE),0))),1)</f>
        <v>2.5</v>
      </c>
      <c r="K76" s="7">
        <f t="shared" si="2"/>
        <v>10.9</v>
      </c>
      <c r="L76" t="str">
        <f>IFERROR(VLOOKUP(A76,Contracts!$A$4:$J$15,7,FALSE),"")</f>
        <v>Normal</v>
      </c>
    </row>
    <row r="77" spans="1:12">
      <c r="A77" t="s">
        <v>101</v>
      </c>
      <c r="B77" t="s">
        <v>190</v>
      </c>
      <c r="C77" t="s">
        <v>191</v>
      </c>
      <c r="D77" t="str">
        <f>IFERROR(VLOOKUP(A77,Contracts!$A$4:$J$15,3,FALSE),"")</f>
        <v>Industrial</v>
      </c>
      <c r="E77">
        <f>IFERROR(VLOOKUP(A77,Contracts!$A$4:$J$15,10,FALSE),0)</f>
        <v>6</v>
      </c>
      <c r="F77">
        <f>IFERROR(VLOOKUP(A77,Contracts!$A$4:$J$15,6,FALSE),0)</f>
        <v>1</v>
      </c>
      <c r="G77">
        <f>IFERROR(VLOOKUP(A77,Contracts!$A$4:$J$15,4,FALSE),0)</f>
        <v>8000</v>
      </c>
      <c r="H77">
        <f>IFERROR(VLOOKUP(D77,Settings!$A$4:$B$10,2,FALSE),1)</f>
        <v>1.7</v>
      </c>
      <c r="I77">
        <f>IFERROR(VLOOKUP(B77,'Supply Catalog'!$A$4:$J$13,5,FALSE),0)</f>
        <v>0.08</v>
      </c>
      <c r="J77" s="7">
        <f>ROUNDUP(E77*((I77*H77)+(G77*IFERROR(VLOOKUP(B77,'Supply Catalog'!$A$4:$J$13,6,FALSE),0))+(F77*IFERROR(VLOOKUP(B77,'Supply Catalog'!$A$4:$J$13,7,FALSE),0))),1)</f>
        <v>1.5</v>
      </c>
      <c r="K77" s="7">
        <f t="shared" si="2"/>
        <v>6.5</v>
      </c>
      <c r="L77" t="str">
        <f>IFERROR(VLOOKUP(A77,Contracts!$A$4:$J$15,7,FALSE),"")</f>
        <v>Normal</v>
      </c>
    </row>
    <row r="78" spans="1:12">
      <c r="A78" t="s">
        <v>101</v>
      </c>
      <c r="B78" t="s">
        <v>193</v>
      </c>
      <c r="C78" t="s">
        <v>194</v>
      </c>
      <c r="D78" t="str">
        <f>IFERROR(VLOOKUP(A78,Contracts!$A$4:$J$15,3,FALSE),"")</f>
        <v>Industrial</v>
      </c>
      <c r="E78">
        <f>IFERROR(VLOOKUP(A78,Contracts!$A$4:$J$15,10,FALSE),0)</f>
        <v>6</v>
      </c>
      <c r="F78">
        <f>IFERROR(VLOOKUP(A78,Contracts!$A$4:$J$15,6,FALSE),0)</f>
        <v>1</v>
      </c>
      <c r="G78">
        <f>IFERROR(VLOOKUP(A78,Contracts!$A$4:$J$15,4,FALSE),0)</f>
        <v>8000</v>
      </c>
      <c r="H78">
        <f>IFERROR(VLOOKUP(D78,Settings!$A$4:$B$10,2,FALSE),1)</f>
        <v>1.7</v>
      </c>
      <c r="I78">
        <f>IFERROR(VLOOKUP(B78,'Supply Catalog'!$A$4:$J$13,5,FALSE),0)</f>
        <v>0.2</v>
      </c>
      <c r="J78" s="7">
        <f>ROUNDUP(E78*((I78*H78)+(G78*IFERROR(VLOOKUP(B78,'Supply Catalog'!$A$4:$J$13,6,FALSE),0))+(F78*IFERROR(VLOOKUP(B78,'Supply Catalog'!$A$4:$J$13,7,FALSE),0))),1)</f>
        <v>3.3000000000000003</v>
      </c>
      <c r="K78" s="7">
        <f t="shared" si="2"/>
        <v>14.299999999999999</v>
      </c>
      <c r="L78" t="str">
        <f>IFERROR(VLOOKUP(A78,Contracts!$A$4:$J$15,7,FALSE),"")</f>
        <v>Normal</v>
      </c>
    </row>
    <row r="79" spans="1:12">
      <c r="A79" t="s">
        <v>101</v>
      </c>
      <c r="B79" t="s">
        <v>197</v>
      </c>
      <c r="C79" t="s">
        <v>198</v>
      </c>
      <c r="D79" t="str">
        <f>IFERROR(VLOOKUP(A79,Contracts!$A$4:$J$15,3,FALSE),"")</f>
        <v>Industrial</v>
      </c>
      <c r="E79">
        <f>IFERROR(VLOOKUP(A79,Contracts!$A$4:$J$15,10,FALSE),0)</f>
        <v>6</v>
      </c>
      <c r="F79">
        <f>IFERROR(VLOOKUP(A79,Contracts!$A$4:$J$15,6,FALSE),0)</f>
        <v>1</v>
      </c>
      <c r="G79">
        <f>IFERROR(VLOOKUP(A79,Contracts!$A$4:$J$15,4,FALSE),0)</f>
        <v>8000</v>
      </c>
      <c r="H79">
        <f>IFERROR(VLOOKUP(D79,Settings!$A$4:$B$10,2,FALSE),1)</f>
        <v>1.7</v>
      </c>
      <c r="I79">
        <f>IFERROR(VLOOKUP(B79,'Supply Catalog'!$A$4:$J$13,5,FALSE),0)</f>
        <v>0.16</v>
      </c>
      <c r="J79" s="7">
        <f>ROUNDUP(E79*((I79*H79)+(G79*IFERROR(VLOOKUP(B79,'Supply Catalog'!$A$4:$J$13,6,FALSE),0))+(F79*IFERROR(VLOOKUP(B79,'Supply Catalog'!$A$4:$J$13,7,FALSE),0))),1)</f>
        <v>2.8000000000000003</v>
      </c>
      <c r="K79" s="7">
        <f t="shared" si="2"/>
        <v>12.2</v>
      </c>
      <c r="L79" t="str">
        <f>IFERROR(VLOOKUP(A79,Contracts!$A$4:$J$15,7,FALSE),"")</f>
        <v>Normal</v>
      </c>
    </row>
    <row r="80" spans="1:12">
      <c r="A80" t="s">
        <v>101</v>
      </c>
      <c r="B80" t="s">
        <v>199</v>
      </c>
      <c r="C80" t="s">
        <v>200</v>
      </c>
      <c r="D80" t="str">
        <f>IFERROR(VLOOKUP(A80,Contracts!$A$4:$J$15,3,FALSE),"")</f>
        <v>Industrial</v>
      </c>
      <c r="E80">
        <f>IFERROR(VLOOKUP(A80,Contracts!$A$4:$J$15,10,FALSE),0)</f>
        <v>6</v>
      </c>
      <c r="F80">
        <f>IFERROR(VLOOKUP(A80,Contracts!$A$4:$J$15,6,FALSE),0)</f>
        <v>1</v>
      </c>
      <c r="G80">
        <f>IFERROR(VLOOKUP(A80,Contracts!$A$4:$J$15,4,FALSE),0)</f>
        <v>8000</v>
      </c>
      <c r="H80">
        <f>IFERROR(VLOOKUP(D80,Settings!$A$4:$B$10,2,FALSE),1)</f>
        <v>1.7</v>
      </c>
      <c r="I80">
        <f>IFERROR(VLOOKUP(B80,'Supply Catalog'!$A$4:$J$13,5,FALSE),0)</f>
        <v>0.06</v>
      </c>
      <c r="J80" s="7">
        <f>ROUNDUP(E80*((I80*H80)+(G80*IFERROR(VLOOKUP(B80,'Supply Catalog'!$A$4:$J$13,6,FALSE),0))+(F80*IFERROR(VLOOKUP(B80,'Supply Catalog'!$A$4:$J$13,7,FALSE),0))),1)</f>
        <v>1.2</v>
      </c>
      <c r="K80" s="7">
        <f t="shared" si="2"/>
        <v>5.1999999999999993</v>
      </c>
      <c r="L80" t="str">
        <f>IFERROR(VLOOKUP(A80,Contracts!$A$4:$J$15,7,FALSE),"")</f>
        <v>Normal</v>
      </c>
    </row>
    <row r="81" spans="1:12">
      <c r="A81" t="s">
        <v>101</v>
      </c>
      <c r="B81" t="s">
        <v>204</v>
      </c>
      <c r="C81" t="s">
        <v>205</v>
      </c>
      <c r="D81" t="str">
        <f>IFERROR(VLOOKUP(A81,Contracts!$A$4:$J$15,3,FALSE),"")</f>
        <v>Industrial</v>
      </c>
      <c r="E81">
        <f>IFERROR(VLOOKUP(A81,Contracts!$A$4:$J$15,10,FALSE),0)</f>
        <v>6</v>
      </c>
      <c r="F81">
        <f>IFERROR(VLOOKUP(A81,Contracts!$A$4:$J$15,6,FALSE),0)</f>
        <v>1</v>
      </c>
      <c r="G81">
        <f>IFERROR(VLOOKUP(A81,Contracts!$A$4:$J$15,4,FALSE),0)</f>
        <v>8000</v>
      </c>
      <c r="H81">
        <f>IFERROR(VLOOKUP(D81,Settings!$A$4:$B$10,2,FALSE),1)</f>
        <v>1.7</v>
      </c>
      <c r="I81">
        <f>IFERROR(VLOOKUP(B81,'Supply Catalog'!$A$4:$J$13,5,FALSE),0)</f>
        <v>0.04</v>
      </c>
      <c r="J81" s="7">
        <f>ROUNDUP(E81*((I81*H81)+(G81*IFERROR(VLOOKUP(B81,'Supply Catalog'!$A$4:$J$13,6,FALSE),0))+(F81*IFERROR(VLOOKUP(B81,'Supply Catalog'!$A$4:$J$13,7,FALSE),0))),1)</f>
        <v>0.79999999999999993</v>
      </c>
      <c r="K81" s="7">
        <f t="shared" si="2"/>
        <v>3.5</v>
      </c>
      <c r="L81" t="str">
        <f>IFERROR(VLOOKUP(A81,Contracts!$A$4:$J$15,7,FALSE),"")</f>
        <v>Normal</v>
      </c>
    </row>
    <row r="82" spans="1:12">
      <c r="A82" t="s">
        <v>101</v>
      </c>
      <c r="B82" t="s">
        <v>208</v>
      </c>
      <c r="C82" t="s">
        <v>209</v>
      </c>
      <c r="D82" t="str">
        <f>IFERROR(VLOOKUP(A82,Contracts!$A$4:$J$15,3,FALSE),"")</f>
        <v>Industrial</v>
      </c>
      <c r="E82">
        <f>IFERROR(VLOOKUP(A82,Contracts!$A$4:$J$15,10,FALSE),0)</f>
        <v>6</v>
      </c>
      <c r="F82">
        <f>IFERROR(VLOOKUP(A82,Contracts!$A$4:$J$15,6,FALSE),0)</f>
        <v>1</v>
      </c>
      <c r="G82">
        <f>IFERROR(VLOOKUP(A82,Contracts!$A$4:$J$15,4,FALSE),0)</f>
        <v>8000</v>
      </c>
      <c r="H82">
        <f>IFERROR(VLOOKUP(D82,Settings!$A$4:$B$10,2,FALSE),1)</f>
        <v>1.7</v>
      </c>
      <c r="I82">
        <f>IFERROR(VLOOKUP(B82,'Supply Catalog'!$A$4:$J$13,5,FALSE),0)</f>
        <v>0.1</v>
      </c>
      <c r="J82" s="7">
        <f>ROUNDUP(E82*((I82*H82)+(G82*IFERROR(VLOOKUP(B82,'Supply Catalog'!$A$4:$J$13,6,FALSE),0))+(F82*IFERROR(VLOOKUP(B82,'Supply Catalog'!$A$4:$J$13,7,FALSE),0))),1)</f>
        <v>2.2000000000000002</v>
      </c>
      <c r="K82" s="7">
        <f t="shared" si="2"/>
        <v>9.6</v>
      </c>
      <c r="L82" t="str">
        <f>IFERROR(VLOOKUP(A82,Contracts!$A$4:$J$15,7,FALSE),"")</f>
        <v>Normal</v>
      </c>
    </row>
    <row r="83" spans="1:12">
      <c r="A83" t="s">
        <v>101</v>
      </c>
      <c r="B83" t="s">
        <v>211</v>
      </c>
      <c r="C83" t="s">
        <v>212</v>
      </c>
      <c r="D83" t="str">
        <f>IFERROR(VLOOKUP(A83,Contracts!$A$4:$J$15,3,FALSE),"")</f>
        <v>Industrial</v>
      </c>
      <c r="E83">
        <f>IFERROR(VLOOKUP(A83,Contracts!$A$4:$J$15,10,FALSE),0)</f>
        <v>6</v>
      </c>
      <c r="F83">
        <f>IFERROR(VLOOKUP(A83,Contracts!$A$4:$J$15,6,FALSE),0)</f>
        <v>1</v>
      </c>
      <c r="G83">
        <f>IFERROR(VLOOKUP(A83,Contracts!$A$4:$J$15,4,FALSE),0)</f>
        <v>8000</v>
      </c>
      <c r="H83">
        <f>IFERROR(VLOOKUP(D83,Settings!$A$4:$B$10,2,FALSE),1)</f>
        <v>1.7</v>
      </c>
      <c r="I83">
        <f>IFERROR(VLOOKUP(B83,'Supply Catalog'!$A$4:$J$13,5,FALSE),0)</f>
        <v>0.1</v>
      </c>
      <c r="J83" s="7">
        <f>ROUNDUP(E83*((I83*H83)+(G83*IFERROR(VLOOKUP(B83,'Supply Catalog'!$A$4:$J$13,6,FALSE),0))+(F83*IFERROR(VLOOKUP(B83,'Supply Catalog'!$A$4:$J$13,7,FALSE),0))),1)</f>
        <v>1.8</v>
      </c>
      <c r="K83" s="7">
        <f t="shared" si="2"/>
        <v>7.8</v>
      </c>
      <c r="L83" t="str">
        <f>IFERROR(VLOOKUP(A83,Contracts!$A$4:$J$15,7,FALSE),"")</f>
        <v>Normal</v>
      </c>
    </row>
    <row r="84" spans="1:12">
      <c r="A84" t="s">
        <v>103</v>
      </c>
      <c r="B84" t="s">
        <v>173</v>
      </c>
      <c r="C84" t="s">
        <v>174</v>
      </c>
      <c r="D84" t="str">
        <f>IFERROR(VLOOKUP(A84,Contracts!$A$4:$J$15,3,FALSE),"")</f>
        <v>Office</v>
      </c>
      <c r="E84">
        <f>IFERROR(VLOOKUP(A84,Contracts!$A$4:$J$15,10,FALSE),0)</f>
        <v>6</v>
      </c>
      <c r="F84">
        <f>IFERROR(VLOOKUP(A84,Contracts!$A$4:$J$15,6,FALSE),0)</f>
        <v>2</v>
      </c>
      <c r="G84">
        <f>IFERROR(VLOOKUP(A84,Contracts!$A$4:$J$15,4,FALSE),0)</f>
        <v>22000</v>
      </c>
      <c r="H84">
        <f>IFERROR(VLOOKUP(D84,Settings!$A$4:$B$10,2,FALSE),1)</f>
        <v>1</v>
      </c>
      <c r="I84">
        <f>IFERROR(VLOOKUP(B84,'Supply Catalog'!$A$4:$J$13,5,FALSE),0)</f>
        <v>0.18</v>
      </c>
      <c r="J84" s="7">
        <f>ROUNDUP(E84*((I84*H84)+(G84*IFERROR(VLOOKUP(B84,'Supply Catalog'!$A$4:$J$13,6,FALSE),0))+(F84*IFERROR(VLOOKUP(B84,'Supply Catalog'!$A$4:$J$13,7,FALSE),0))),1)</f>
        <v>3.7</v>
      </c>
      <c r="K84" s="7">
        <f t="shared" si="2"/>
        <v>16.100000000000001</v>
      </c>
      <c r="L84" t="str">
        <f>IFERROR(VLOOKUP(A84,Contracts!$A$4:$J$15,7,FALSE),"")</f>
        <v>Normal</v>
      </c>
    </row>
    <row r="85" spans="1:12">
      <c r="A85" t="s">
        <v>103</v>
      </c>
      <c r="B85" t="s">
        <v>179</v>
      </c>
      <c r="C85" t="s">
        <v>180</v>
      </c>
      <c r="D85" t="str">
        <f>IFERROR(VLOOKUP(A85,Contracts!$A$4:$J$15,3,FALSE),"")</f>
        <v>Office</v>
      </c>
      <c r="E85">
        <f>IFERROR(VLOOKUP(A85,Contracts!$A$4:$J$15,10,FALSE),0)</f>
        <v>6</v>
      </c>
      <c r="F85">
        <f>IFERROR(VLOOKUP(A85,Contracts!$A$4:$J$15,6,FALSE),0)</f>
        <v>2</v>
      </c>
      <c r="G85">
        <f>IFERROR(VLOOKUP(A85,Contracts!$A$4:$J$15,4,FALSE),0)</f>
        <v>22000</v>
      </c>
      <c r="H85">
        <f>IFERROR(VLOOKUP(D85,Settings!$A$4:$B$10,2,FALSE),1)</f>
        <v>1</v>
      </c>
      <c r="I85">
        <f>IFERROR(VLOOKUP(B85,'Supply Catalog'!$A$4:$J$13,5,FALSE),0)</f>
        <v>0.45</v>
      </c>
      <c r="J85" s="7">
        <f>ROUNDUP(E85*((I85*H85)+(G85*IFERROR(VLOOKUP(B85,'Supply Catalog'!$A$4:$J$13,6,FALSE),0))+(F85*IFERROR(VLOOKUP(B85,'Supply Catalog'!$A$4:$J$13,7,FALSE),0))),1)</f>
        <v>4.5999999999999996</v>
      </c>
      <c r="K85" s="7">
        <f t="shared" si="2"/>
        <v>20</v>
      </c>
      <c r="L85" t="str">
        <f>IFERROR(VLOOKUP(A85,Contracts!$A$4:$J$15,7,FALSE),"")</f>
        <v>Normal</v>
      </c>
    </row>
    <row r="86" spans="1:12">
      <c r="A86" t="s">
        <v>103</v>
      </c>
      <c r="B86" t="s">
        <v>184</v>
      </c>
      <c r="C86" t="s">
        <v>185</v>
      </c>
      <c r="D86" t="str">
        <f>IFERROR(VLOOKUP(A86,Contracts!$A$4:$J$15,3,FALSE),"")</f>
        <v>Office</v>
      </c>
      <c r="E86">
        <f>IFERROR(VLOOKUP(A86,Contracts!$A$4:$J$15,10,FALSE),0)</f>
        <v>6</v>
      </c>
      <c r="F86">
        <f>IFERROR(VLOOKUP(A86,Contracts!$A$4:$J$15,6,FALSE),0)</f>
        <v>2</v>
      </c>
      <c r="G86">
        <f>IFERROR(VLOOKUP(A86,Contracts!$A$4:$J$15,4,FALSE),0)</f>
        <v>22000</v>
      </c>
      <c r="H86">
        <f>IFERROR(VLOOKUP(D86,Settings!$A$4:$B$10,2,FALSE),1)</f>
        <v>1</v>
      </c>
      <c r="I86">
        <f>IFERROR(VLOOKUP(B86,'Supply Catalog'!$A$4:$J$13,5,FALSE),0)</f>
        <v>0.12</v>
      </c>
      <c r="J86" s="7">
        <f>ROUNDUP(E86*((I86*H86)+(G86*IFERROR(VLOOKUP(B86,'Supply Catalog'!$A$4:$J$13,6,FALSE),0))+(F86*IFERROR(VLOOKUP(B86,'Supply Catalog'!$A$4:$J$13,7,FALSE),0))),1)</f>
        <v>3.9</v>
      </c>
      <c r="K86" s="7">
        <f t="shared" si="2"/>
        <v>16.900000000000002</v>
      </c>
      <c r="L86" t="str">
        <f>IFERROR(VLOOKUP(A86,Contracts!$A$4:$J$15,7,FALSE),"")</f>
        <v>Normal</v>
      </c>
    </row>
    <row r="87" spans="1:12">
      <c r="A87" t="s">
        <v>103</v>
      </c>
      <c r="B87" t="s">
        <v>190</v>
      </c>
      <c r="C87" t="s">
        <v>191</v>
      </c>
      <c r="D87" t="str">
        <f>IFERROR(VLOOKUP(A87,Contracts!$A$4:$J$15,3,FALSE),"")</f>
        <v>Office</v>
      </c>
      <c r="E87">
        <f>IFERROR(VLOOKUP(A87,Contracts!$A$4:$J$15,10,FALSE),0)</f>
        <v>6</v>
      </c>
      <c r="F87">
        <f>IFERROR(VLOOKUP(A87,Contracts!$A$4:$J$15,6,FALSE),0)</f>
        <v>2</v>
      </c>
      <c r="G87">
        <f>IFERROR(VLOOKUP(A87,Contracts!$A$4:$J$15,4,FALSE),0)</f>
        <v>22000</v>
      </c>
      <c r="H87">
        <f>IFERROR(VLOOKUP(D87,Settings!$A$4:$B$10,2,FALSE),1)</f>
        <v>1</v>
      </c>
      <c r="I87">
        <f>IFERROR(VLOOKUP(B87,'Supply Catalog'!$A$4:$J$13,5,FALSE),0)</f>
        <v>0.08</v>
      </c>
      <c r="J87" s="7">
        <f>ROUNDUP(E87*((I87*H87)+(G87*IFERROR(VLOOKUP(B87,'Supply Catalog'!$A$4:$J$13,6,FALSE),0))+(F87*IFERROR(VLOOKUP(B87,'Supply Catalog'!$A$4:$J$13,7,FALSE),0))),1)</f>
        <v>2.2000000000000002</v>
      </c>
      <c r="K87" s="7">
        <f t="shared" si="2"/>
        <v>9.6</v>
      </c>
      <c r="L87" t="str">
        <f>IFERROR(VLOOKUP(A87,Contracts!$A$4:$J$15,7,FALSE),"")</f>
        <v>Normal</v>
      </c>
    </row>
    <row r="88" spans="1:12">
      <c r="A88" t="s">
        <v>103</v>
      </c>
      <c r="B88" t="s">
        <v>193</v>
      </c>
      <c r="C88" t="s">
        <v>194</v>
      </c>
      <c r="D88" t="str">
        <f>IFERROR(VLOOKUP(A88,Contracts!$A$4:$J$15,3,FALSE),"")</f>
        <v>Office</v>
      </c>
      <c r="E88">
        <f>IFERROR(VLOOKUP(A88,Contracts!$A$4:$J$15,10,FALSE),0)</f>
        <v>6</v>
      </c>
      <c r="F88">
        <f>IFERROR(VLOOKUP(A88,Contracts!$A$4:$J$15,6,FALSE),0)</f>
        <v>2</v>
      </c>
      <c r="G88">
        <f>IFERROR(VLOOKUP(A88,Contracts!$A$4:$J$15,4,FALSE),0)</f>
        <v>22000</v>
      </c>
      <c r="H88">
        <f>IFERROR(VLOOKUP(D88,Settings!$A$4:$B$10,2,FALSE),1)</f>
        <v>1</v>
      </c>
      <c r="I88">
        <f>IFERROR(VLOOKUP(B88,'Supply Catalog'!$A$4:$J$13,5,FALSE),0)</f>
        <v>0.2</v>
      </c>
      <c r="J88" s="7">
        <f>ROUNDUP(E88*((I88*H88)+(G88*IFERROR(VLOOKUP(B88,'Supply Catalog'!$A$4:$J$13,6,FALSE),0))+(F88*IFERROR(VLOOKUP(B88,'Supply Catalog'!$A$4:$J$13,7,FALSE),0))),1)</f>
        <v>4.3999999999999995</v>
      </c>
      <c r="K88" s="7">
        <f t="shared" si="2"/>
        <v>19.100000000000001</v>
      </c>
      <c r="L88" t="str">
        <f>IFERROR(VLOOKUP(A88,Contracts!$A$4:$J$15,7,FALSE),"")</f>
        <v>Normal</v>
      </c>
    </row>
    <row r="89" spans="1:12">
      <c r="A89" t="s">
        <v>103</v>
      </c>
      <c r="B89" t="s">
        <v>197</v>
      </c>
      <c r="C89" t="s">
        <v>198</v>
      </c>
      <c r="D89" t="str">
        <f>IFERROR(VLOOKUP(A89,Contracts!$A$4:$J$15,3,FALSE),"")</f>
        <v>Office</v>
      </c>
      <c r="E89">
        <f>IFERROR(VLOOKUP(A89,Contracts!$A$4:$J$15,10,FALSE),0)</f>
        <v>6</v>
      </c>
      <c r="F89">
        <f>IFERROR(VLOOKUP(A89,Contracts!$A$4:$J$15,6,FALSE),0)</f>
        <v>2</v>
      </c>
      <c r="G89">
        <f>IFERROR(VLOOKUP(A89,Contracts!$A$4:$J$15,4,FALSE),0)</f>
        <v>22000</v>
      </c>
      <c r="H89">
        <f>IFERROR(VLOOKUP(D89,Settings!$A$4:$B$10,2,FALSE),1)</f>
        <v>1</v>
      </c>
      <c r="I89">
        <f>IFERROR(VLOOKUP(B89,'Supply Catalog'!$A$4:$J$13,5,FALSE),0)</f>
        <v>0.16</v>
      </c>
      <c r="J89" s="7">
        <f>ROUNDUP(E89*((I89*H89)+(G89*IFERROR(VLOOKUP(B89,'Supply Catalog'!$A$4:$J$13,6,FALSE),0))+(F89*IFERROR(VLOOKUP(B89,'Supply Catalog'!$A$4:$J$13,7,FALSE),0))),1)</f>
        <v>3.9</v>
      </c>
      <c r="K89" s="7">
        <f t="shared" si="2"/>
        <v>16.900000000000002</v>
      </c>
      <c r="L89" t="str">
        <f>IFERROR(VLOOKUP(A89,Contracts!$A$4:$J$15,7,FALSE),"")</f>
        <v>Normal</v>
      </c>
    </row>
    <row r="90" spans="1:12">
      <c r="A90" t="s">
        <v>103</v>
      </c>
      <c r="B90" t="s">
        <v>199</v>
      </c>
      <c r="C90" t="s">
        <v>200</v>
      </c>
      <c r="D90" t="str">
        <f>IFERROR(VLOOKUP(A90,Contracts!$A$4:$J$15,3,FALSE),"")</f>
        <v>Office</v>
      </c>
      <c r="E90">
        <f>IFERROR(VLOOKUP(A90,Contracts!$A$4:$J$15,10,FALSE),0)</f>
        <v>6</v>
      </c>
      <c r="F90">
        <f>IFERROR(VLOOKUP(A90,Contracts!$A$4:$J$15,6,FALSE),0)</f>
        <v>2</v>
      </c>
      <c r="G90">
        <f>IFERROR(VLOOKUP(A90,Contracts!$A$4:$J$15,4,FALSE),0)</f>
        <v>22000</v>
      </c>
      <c r="H90">
        <f>IFERROR(VLOOKUP(D90,Settings!$A$4:$B$10,2,FALSE),1)</f>
        <v>1</v>
      </c>
      <c r="I90">
        <f>IFERROR(VLOOKUP(B90,'Supply Catalog'!$A$4:$J$13,5,FALSE),0)</f>
        <v>0.06</v>
      </c>
      <c r="J90" s="7">
        <f>ROUNDUP(E90*((I90*H90)+(G90*IFERROR(VLOOKUP(B90,'Supply Catalog'!$A$4:$J$13,6,FALSE),0))+(F90*IFERROR(VLOOKUP(B90,'Supply Catalog'!$A$4:$J$13,7,FALSE),0))),1)</f>
        <v>1.8</v>
      </c>
      <c r="K90" s="7">
        <f t="shared" si="2"/>
        <v>7.8</v>
      </c>
      <c r="L90" t="str">
        <f>IFERROR(VLOOKUP(A90,Contracts!$A$4:$J$15,7,FALSE),"")</f>
        <v>Normal</v>
      </c>
    </row>
    <row r="91" spans="1:12">
      <c r="A91" t="s">
        <v>103</v>
      </c>
      <c r="B91" t="s">
        <v>204</v>
      </c>
      <c r="C91" t="s">
        <v>205</v>
      </c>
      <c r="D91" t="str">
        <f>IFERROR(VLOOKUP(A91,Contracts!$A$4:$J$15,3,FALSE),"")</f>
        <v>Office</v>
      </c>
      <c r="E91">
        <f>IFERROR(VLOOKUP(A91,Contracts!$A$4:$J$15,10,FALSE),0)</f>
        <v>6</v>
      </c>
      <c r="F91">
        <f>IFERROR(VLOOKUP(A91,Contracts!$A$4:$J$15,6,FALSE),0)</f>
        <v>2</v>
      </c>
      <c r="G91">
        <f>IFERROR(VLOOKUP(A91,Contracts!$A$4:$J$15,4,FALSE),0)</f>
        <v>22000</v>
      </c>
      <c r="H91">
        <f>IFERROR(VLOOKUP(D91,Settings!$A$4:$B$10,2,FALSE),1)</f>
        <v>1</v>
      </c>
      <c r="I91">
        <f>IFERROR(VLOOKUP(B91,'Supply Catalog'!$A$4:$J$13,5,FALSE),0)</f>
        <v>0.04</v>
      </c>
      <c r="J91" s="7">
        <f>ROUNDUP(E91*((I91*H91)+(G91*IFERROR(VLOOKUP(B91,'Supply Catalog'!$A$4:$J$13,6,FALSE),0))+(F91*IFERROR(VLOOKUP(B91,'Supply Catalog'!$A$4:$J$13,7,FALSE),0))),1)</f>
        <v>1.1000000000000001</v>
      </c>
      <c r="K91" s="7">
        <f t="shared" si="2"/>
        <v>4.8</v>
      </c>
      <c r="L91" t="str">
        <f>IFERROR(VLOOKUP(A91,Contracts!$A$4:$J$15,7,FALSE),"")</f>
        <v>Normal</v>
      </c>
    </row>
    <row r="92" spans="1:12">
      <c r="A92" t="s">
        <v>103</v>
      </c>
      <c r="B92" t="s">
        <v>208</v>
      </c>
      <c r="C92" t="s">
        <v>209</v>
      </c>
      <c r="D92" t="str">
        <f>IFERROR(VLOOKUP(A92,Contracts!$A$4:$J$15,3,FALSE),"")</f>
        <v>Office</v>
      </c>
      <c r="E92">
        <f>IFERROR(VLOOKUP(A92,Contracts!$A$4:$J$15,10,FALSE),0)</f>
        <v>6</v>
      </c>
      <c r="F92">
        <f>IFERROR(VLOOKUP(A92,Contracts!$A$4:$J$15,6,FALSE),0)</f>
        <v>2</v>
      </c>
      <c r="G92">
        <f>IFERROR(VLOOKUP(A92,Contracts!$A$4:$J$15,4,FALSE),0)</f>
        <v>22000</v>
      </c>
      <c r="H92">
        <f>IFERROR(VLOOKUP(D92,Settings!$A$4:$B$10,2,FALSE),1)</f>
        <v>1</v>
      </c>
      <c r="I92">
        <f>IFERROR(VLOOKUP(B92,'Supply Catalog'!$A$4:$J$13,5,FALSE),0)</f>
        <v>0.1</v>
      </c>
      <c r="J92" s="7">
        <f>ROUNDUP(E92*((I92*H92)+(G92*IFERROR(VLOOKUP(B92,'Supply Catalog'!$A$4:$J$13,6,FALSE),0))+(F92*IFERROR(VLOOKUP(B92,'Supply Catalog'!$A$4:$J$13,7,FALSE),0))),1)</f>
        <v>3.5</v>
      </c>
      <c r="K92" s="7">
        <f t="shared" si="2"/>
        <v>15.2</v>
      </c>
      <c r="L92" t="str">
        <f>IFERROR(VLOOKUP(A92,Contracts!$A$4:$J$15,7,FALSE),"")</f>
        <v>Normal</v>
      </c>
    </row>
    <row r="93" spans="1:12">
      <c r="A93" t="s">
        <v>103</v>
      </c>
      <c r="B93" t="s">
        <v>211</v>
      </c>
      <c r="C93" t="s">
        <v>212</v>
      </c>
      <c r="D93" t="str">
        <f>IFERROR(VLOOKUP(A93,Contracts!$A$4:$J$15,3,FALSE),"")</f>
        <v>Office</v>
      </c>
      <c r="E93">
        <f>IFERROR(VLOOKUP(A93,Contracts!$A$4:$J$15,10,FALSE),0)</f>
        <v>6</v>
      </c>
      <c r="F93">
        <f>IFERROR(VLOOKUP(A93,Contracts!$A$4:$J$15,6,FALSE),0)</f>
        <v>2</v>
      </c>
      <c r="G93">
        <f>IFERROR(VLOOKUP(A93,Contracts!$A$4:$J$15,4,FALSE),0)</f>
        <v>22000</v>
      </c>
      <c r="H93">
        <f>IFERROR(VLOOKUP(D93,Settings!$A$4:$B$10,2,FALSE),1)</f>
        <v>1</v>
      </c>
      <c r="I93">
        <f>IFERROR(VLOOKUP(B93,'Supply Catalog'!$A$4:$J$13,5,FALSE),0)</f>
        <v>0.1</v>
      </c>
      <c r="J93" s="7">
        <f>ROUNDUP(E93*((I93*H93)+(G93*IFERROR(VLOOKUP(B93,'Supply Catalog'!$A$4:$J$13,6,FALSE),0))+(F93*IFERROR(VLOOKUP(B93,'Supply Catalog'!$A$4:$J$13,7,FALSE),0))),1)</f>
        <v>2.6</v>
      </c>
      <c r="K93" s="7">
        <f t="shared" si="2"/>
        <v>11.299999999999999</v>
      </c>
      <c r="L93" t="str">
        <f>IFERROR(VLOOKUP(A93,Contracts!$A$4:$J$15,7,FALSE),"")</f>
        <v>Normal</v>
      </c>
    </row>
    <row r="94" spans="1:12">
      <c r="A94" t="s">
        <v>105</v>
      </c>
      <c r="B94" t="s">
        <v>173</v>
      </c>
      <c r="C94" t="s">
        <v>174</v>
      </c>
      <c r="D94" t="str">
        <f>IFERROR(VLOOKUP(A94,Contracts!$A$4:$J$15,3,FALSE),"")</f>
        <v>Education</v>
      </c>
      <c r="E94">
        <f>IFERROR(VLOOKUP(A94,Contracts!$A$4:$J$15,10,FALSE),0)</f>
        <v>6</v>
      </c>
      <c r="F94">
        <f>IFERROR(VLOOKUP(A94,Contracts!$A$4:$J$15,6,FALSE),0)</f>
        <v>4</v>
      </c>
      <c r="G94">
        <f>IFERROR(VLOOKUP(A94,Contracts!$A$4:$J$15,4,FALSE),0)</f>
        <v>68000</v>
      </c>
      <c r="H94">
        <f>IFERROR(VLOOKUP(D94,Settings!$A$4:$B$10,2,FALSE),1)</f>
        <v>2</v>
      </c>
      <c r="I94">
        <f>IFERROR(VLOOKUP(B94,'Supply Catalog'!$A$4:$J$13,5,FALSE),0)</f>
        <v>0.18</v>
      </c>
      <c r="J94" s="7">
        <f>ROUNDUP(E94*((I94*H94)+(G94*IFERROR(VLOOKUP(B94,'Supply Catalog'!$A$4:$J$13,6,FALSE),0))+(F94*IFERROR(VLOOKUP(B94,'Supply Catalog'!$A$4:$J$13,7,FALSE),0))),1)</f>
        <v>9.5</v>
      </c>
      <c r="K94" s="7">
        <f t="shared" si="2"/>
        <v>41.2</v>
      </c>
      <c r="L94" t="str">
        <f>IFERROR(VLOOKUP(A94,Contracts!$A$4:$J$15,7,FALSE),"")</f>
        <v>Critical</v>
      </c>
    </row>
    <row r="95" spans="1:12">
      <c r="A95" t="s">
        <v>105</v>
      </c>
      <c r="B95" t="s">
        <v>179</v>
      </c>
      <c r="C95" t="s">
        <v>180</v>
      </c>
      <c r="D95" t="str">
        <f>IFERROR(VLOOKUP(A95,Contracts!$A$4:$J$15,3,FALSE),"")</f>
        <v>Education</v>
      </c>
      <c r="E95">
        <f>IFERROR(VLOOKUP(A95,Contracts!$A$4:$J$15,10,FALSE),0)</f>
        <v>6</v>
      </c>
      <c r="F95">
        <f>IFERROR(VLOOKUP(A95,Contracts!$A$4:$J$15,6,FALSE),0)</f>
        <v>4</v>
      </c>
      <c r="G95">
        <f>IFERROR(VLOOKUP(A95,Contracts!$A$4:$J$15,4,FALSE),0)</f>
        <v>68000</v>
      </c>
      <c r="H95">
        <f>IFERROR(VLOOKUP(D95,Settings!$A$4:$B$10,2,FALSE),1)</f>
        <v>2</v>
      </c>
      <c r="I95">
        <f>IFERROR(VLOOKUP(B95,'Supply Catalog'!$A$4:$J$13,5,FALSE),0)</f>
        <v>0.45</v>
      </c>
      <c r="J95" s="7">
        <f>ROUNDUP(E95*((I95*H95)+(G95*IFERROR(VLOOKUP(B95,'Supply Catalog'!$A$4:$J$13,6,FALSE),0))+(F95*IFERROR(VLOOKUP(B95,'Supply Catalog'!$A$4:$J$13,7,FALSE),0))),1)</f>
        <v>9.9</v>
      </c>
      <c r="K95" s="7">
        <f t="shared" si="2"/>
        <v>42.9</v>
      </c>
      <c r="L95" t="str">
        <f>IFERROR(VLOOKUP(A95,Contracts!$A$4:$J$15,7,FALSE),"")</f>
        <v>Critical</v>
      </c>
    </row>
    <row r="96" spans="1:12">
      <c r="A96" t="s">
        <v>105</v>
      </c>
      <c r="B96" t="s">
        <v>184</v>
      </c>
      <c r="C96" t="s">
        <v>185</v>
      </c>
      <c r="D96" t="str">
        <f>IFERROR(VLOOKUP(A96,Contracts!$A$4:$J$15,3,FALSE),"")</f>
        <v>Education</v>
      </c>
      <c r="E96">
        <f>IFERROR(VLOOKUP(A96,Contracts!$A$4:$J$15,10,FALSE),0)</f>
        <v>6</v>
      </c>
      <c r="F96">
        <f>IFERROR(VLOOKUP(A96,Contracts!$A$4:$J$15,6,FALSE),0)</f>
        <v>4</v>
      </c>
      <c r="G96">
        <f>IFERROR(VLOOKUP(A96,Contracts!$A$4:$J$15,4,FALSE),0)</f>
        <v>68000</v>
      </c>
      <c r="H96">
        <f>IFERROR(VLOOKUP(D96,Settings!$A$4:$B$10,2,FALSE),1)</f>
        <v>2</v>
      </c>
      <c r="I96">
        <f>IFERROR(VLOOKUP(B96,'Supply Catalog'!$A$4:$J$13,5,FALSE),0)</f>
        <v>0.12</v>
      </c>
      <c r="J96" s="7">
        <f>ROUNDUP(E96*((I96*H96)+(G96*IFERROR(VLOOKUP(B96,'Supply Catalog'!$A$4:$J$13,6,FALSE),0))+(F96*IFERROR(VLOOKUP(B96,'Supply Catalog'!$A$4:$J$13,7,FALSE),0))),1)</f>
        <v>10.6</v>
      </c>
      <c r="K96" s="7">
        <f t="shared" si="2"/>
        <v>45.9</v>
      </c>
      <c r="L96" t="str">
        <f>IFERROR(VLOOKUP(A96,Contracts!$A$4:$J$15,7,FALSE),"")</f>
        <v>Critical</v>
      </c>
    </row>
    <row r="97" spans="1:12">
      <c r="A97" t="s">
        <v>105</v>
      </c>
      <c r="B97" t="s">
        <v>190</v>
      </c>
      <c r="C97" t="s">
        <v>191</v>
      </c>
      <c r="D97" t="str">
        <f>IFERROR(VLOOKUP(A97,Contracts!$A$4:$J$15,3,FALSE),"")</f>
        <v>Education</v>
      </c>
      <c r="E97">
        <f>IFERROR(VLOOKUP(A97,Contracts!$A$4:$J$15,10,FALSE),0)</f>
        <v>6</v>
      </c>
      <c r="F97">
        <f>IFERROR(VLOOKUP(A97,Contracts!$A$4:$J$15,6,FALSE),0)</f>
        <v>4</v>
      </c>
      <c r="G97">
        <f>IFERROR(VLOOKUP(A97,Contracts!$A$4:$J$15,4,FALSE),0)</f>
        <v>68000</v>
      </c>
      <c r="H97">
        <f>IFERROR(VLOOKUP(D97,Settings!$A$4:$B$10,2,FALSE),1)</f>
        <v>2</v>
      </c>
      <c r="I97">
        <f>IFERROR(VLOOKUP(B97,'Supply Catalog'!$A$4:$J$13,5,FALSE),0)</f>
        <v>0.08</v>
      </c>
      <c r="J97" s="7">
        <f>ROUNDUP(E97*((I97*H97)+(G97*IFERROR(VLOOKUP(B97,'Supply Catalog'!$A$4:$J$13,6,FALSE),0))+(F97*IFERROR(VLOOKUP(B97,'Supply Catalog'!$A$4:$J$13,7,FALSE),0))),1)</f>
        <v>5.8</v>
      </c>
      <c r="K97" s="7">
        <f t="shared" si="2"/>
        <v>25.200000000000003</v>
      </c>
      <c r="L97" t="str">
        <f>IFERROR(VLOOKUP(A97,Contracts!$A$4:$J$15,7,FALSE),"")</f>
        <v>Critical</v>
      </c>
    </row>
    <row r="98" spans="1:12">
      <c r="A98" t="s">
        <v>105</v>
      </c>
      <c r="B98" t="s">
        <v>193</v>
      </c>
      <c r="C98" t="s">
        <v>194</v>
      </c>
      <c r="D98" t="str">
        <f>IFERROR(VLOOKUP(A98,Contracts!$A$4:$J$15,3,FALSE),"")</f>
        <v>Education</v>
      </c>
      <c r="E98">
        <f>IFERROR(VLOOKUP(A98,Contracts!$A$4:$J$15,10,FALSE),0)</f>
        <v>6</v>
      </c>
      <c r="F98">
        <f>IFERROR(VLOOKUP(A98,Contracts!$A$4:$J$15,6,FALSE),0)</f>
        <v>4</v>
      </c>
      <c r="G98">
        <f>IFERROR(VLOOKUP(A98,Contracts!$A$4:$J$15,4,FALSE),0)</f>
        <v>68000</v>
      </c>
      <c r="H98">
        <f>IFERROR(VLOOKUP(D98,Settings!$A$4:$B$10,2,FALSE),1)</f>
        <v>2</v>
      </c>
      <c r="I98">
        <f>IFERROR(VLOOKUP(B98,'Supply Catalog'!$A$4:$J$13,5,FALSE),0)</f>
        <v>0.2</v>
      </c>
      <c r="J98" s="7">
        <f>ROUNDUP(E98*((I98*H98)+(G98*IFERROR(VLOOKUP(B98,'Supply Catalog'!$A$4:$J$13,6,FALSE),0))+(F98*IFERROR(VLOOKUP(B98,'Supply Catalog'!$A$4:$J$13,7,FALSE),0))),1)</f>
        <v>11.6</v>
      </c>
      <c r="K98" s="7">
        <f t="shared" si="2"/>
        <v>50.300000000000004</v>
      </c>
      <c r="L98" t="str">
        <f>IFERROR(VLOOKUP(A98,Contracts!$A$4:$J$15,7,FALSE),"")</f>
        <v>Critical</v>
      </c>
    </row>
    <row r="99" spans="1:12">
      <c r="A99" t="s">
        <v>105</v>
      </c>
      <c r="B99" t="s">
        <v>197</v>
      </c>
      <c r="C99" t="s">
        <v>198</v>
      </c>
      <c r="D99" t="str">
        <f>IFERROR(VLOOKUP(A99,Contracts!$A$4:$J$15,3,FALSE),"")</f>
        <v>Education</v>
      </c>
      <c r="E99">
        <f>IFERROR(VLOOKUP(A99,Contracts!$A$4:$J$15,10,FALSE),0)</f>
        <v>6</v>
      </c>
      <c r="F99">
        <f>IFERROR(VLOOKUP(A99,Contracts!$A$4:$J$15,6,FALSE),0)</f>
        <v>4</v>
      </c>
      <c r="G99">
        <f>IFERROR(VLOOKUP(A99,Contracts!$A$4:$J$15,4,FALSE),0)</f>
        <v>68000</v>
      </c>
      <c r="H99">
        <f>IFERROR(VLOOKUP(D99,Settings!$A$4:$B$10,2,FALSE),1)</f>
        <v>2</v>
      </c>
      <c r="I99">
        <f>IFERROR(VLOOKUP(B99,'Supply Catalog'!$A$4:$J$13,5,FALSE),0)</f>
        <v>0.16</v>
      </c>
      <c r="J99" s="7">
        <f>ROUNDUP(E99*((I99*H99)+(G99*IFERROR(VLOOKUP(B99,'Supply Catalog'!$A$4:$J$13,6,FALSE),0))+(F99*IFERROR(VLOOKUP(B99,'Supply Catalog'!$A$4:$J$13,7,FALSE),0))),1)</f>
        <v>10.299999999999999</v>
      </c>
      <c r="K99" s="7">
        <f t="shared" si="2"/>
        <v>44.6</v>
      </c>
      <c r="L99" t="str">
        <f>IFERROR(VLOOKUP(A99,Contracts!$A$4:$J$15,7,FALSE),"")</f>
        <v>Critical</v>
      </c>
    </row>
    <row r="100" spans="1:12">
      <c r="A100" t="s">
        <v>105</v>
      </c>
      <c r="B100" t="s">
        <v>199</v>
      </c>
      <c r="C100" t="s">
        <v>200</v>
      </c>
      <c r="D100" t="str">
        <f>IFERROR(VLOOKUP(A100,Contracts!$A$4:$J$15,3,FALSE),"")</f>
        <v>Education</v>
      </c>
      <c r="E100">
        <f>IFERROR(VLOOKUP(A100,Contracts!$A$4:$J$15,10,FALSE),0)</f>
        <v>6</v>
      </c>
      <c r="F100">
        <f>IFERROR(VLOOKUP(A100,Contracts!$A$4:$J$15,6,FALSE),0)</f>
        <v>4</v>
      </c>
      <c r="G100">
        <f>IFERROR(VLOOKUP(A100,Contracts!$A$4:$J$15,4,FALSE),0)</f>
        <v>68000</v>
      </c>
      <c r="H100">
        <f>IFERROR(VLOOKUP(D100,Settings!$A$4:$B$10,2,FALSE),1)</f>
        <v>2</v>
      </c>
      <c r="I100">
        <f>IFERROR(VLOOKUP(B100,'Supply Catalog'!$A$4:$J$13,5,FALSE),0)</f>
        <v>0.06</v>
      </c>
      <c r="J100" s="7">
        <f>ROUNDUP(E100*((I100*H100)+(G100*IFERROR(VLOOKUP(B100,'Supply Catalog'!$A$4:$J$13,6,FALSE),0))+(F100*IFERROR(VLOOKUP(B100,'Supply Catalog'!$A$4:$J$13,7,FALSE),0))),1)</f>
        <v>4.3999999999999995</v>
      </c>
      <c r="K100" s="7">
        <f t="shared" ref="K100:K123" si="3">ROUNDUP(J100*4.33,1)</f>
        <v>19.100000000000001</v>
      </c>
      <c r="L100" t="str">
        <f>IFERROR(VLOOKUP(A100,Contracts!$A$4:$J$15,7,FALSE),"")</f>
        <v>Critical</v>
      </c>
    </row>
    <row r="101" spans="1:12">
      <c r="A101" t="s">
        <v>105</v>
      </c>
      <c r="B101" t="s">
        <v>204</v>
      </c>
      <c r="C101" t="s">
        <v>205</v>
      </c>
      <c r="D101" t="str">
        <f>IFERROR(VLOOKUP(A101,Contracts!$A$4:$J$15,3,FALSE),"")</f>
        <v>Education</v>
      </c>
      <c r="E101">
        <f>IFERROR(VLOOKUP(A101,Contracts!$A$4:$J$15,10,FALSE),0)</f>
        <v>6</v>
      </c>
      <c r="F101">
        <f>IFERROR(VLOOKUP(A101,Contracts!$A$4:$J$15,6,FALSE),0)</f>
        <v>4</v>
      </c>
      <c r="G101">
        <f>IFERROR(VLOOKUP(A101,Contracts!$A$4:$J$15,4,FALSE),0)</f>
        <v>68000</v>
      </c>
      <c r="H101">
        <f>IFERROR(VLOOKUP(D101,Settings!$A$4:$B$10,2,FALSE),1)</f>
        <v>2</v>
      </c>
      <c r="I101">
        <f>IFERROR(VLOOKUP(B101,'Supply Catalog'!$A$4:$J$13,5,FALSE),0)</f>
        <v>0.04</v>
      </c>
      <c r="J101" s="7">
        <f>ROUNDUP(E101*((I101*H101)+(G101*IFERROR(VLOOKUP(B101,'Supply Catalog'!$A$4:$J$13,6,FALSE),0))+(F101*IFERROR(VLOOKUP(B101,'Supply Catalog'!$A$4:$J$13,7,FALSE),0))),1)</f>
        <v>2.6</v>
      </c>
      <c r="K101" s="7">
        <f t="shared" si="3"/>
        <v>11.299999999999999</v>
      </c>
      <c r="L101" t="str">
        <f>IFERROR(VLOOKUP(A101,Contracts!$A$4:$J$15,7,FALSE),"")</f>
        <v>Critical</v>
      </c>
    </row>
    <row r="102" spans="1:12">
      <c r="A102" t="s">
        <v>105</v>
      </c>
      <c r="B102" t="s">
        <v>208</v>
      </c>
      <c r="C102" t="s">
        <v>209</v>
      </c>
      <c r="D102" t="str">
        <f>IFERROR(VLOOKUP(A102,Contracts!$A$4:$J$15,3,FALSE),"")</f>
        <v>Education</v>
      </c>
      <c r="E102">
        <f>IFERROR(VLOOKUP(A102,Contracts!$A$4:$J$15,10,FALSE),0)</f>
        <v>6</v>
      </c>
      <c r="F102">
        <f>IFERROR(VLOOKUP(A102,Contracts!$A$4:$J$15,6,FALSE),0)</f>
        <v>4</v>
      </c>
      <c r="G102">
        <f>IFERROR(VLOOKUP(A102,Contracts!$A$4:$J$15,4,FALSE),0)</f>
        <v>68000</v>
      </c>
      <c r="H102">
        <f>IFERROR(VLOOKUP(D102,Settings!$A$4:$B$10,2,FALSE),1)</f>
        <v>2</v>
      </c>
      <c r="I102">
        <f>IFERROR(VLOOKUP(B102,'Supply Catalog'!$A$4:$J$13,5,FALSE),0)</f>
        <v>0.1</v>
      </c>
      <c r="J102" s="7">
        <f>ROUNDUP(E102*((I102*H102)+(G102*IFERROR(VLOOKUP(B102,'Supply Catalog'!$A$4:$J$13,6,FALSE),0))+(F102*IFERROR(VLOOKUP(B102,'Supply Catalog'!$A$4:$J$13,7,FALSE),0))),1)</f>
        <v>9.6</v>
      </c>
      <c r="K102" s="7">
        <f t="shared" si="3"/>
        <v>41.6</v>
      </c>
      <c r="L102" t="str">
        <f>IFERROR(VLOOKUP(A102,Contracts!$A$4:$J$15,7,FALSE),"")</f>
        <v>Critical</v>
      </c>
    </row>
    <row r="103" spans="1:12">
      <c r="A103" t="s">
        <v>105</v>
      </c>
      <c r="B103" t="s">
        <v>211</v>
      </c>
      <c r="C103" t="s">
        <v>212</v>
      </c>
      <c r="D103" t="str">
        <f>IFERROR(VLOOKUP(A103,Contracts!$A$4:$J$15,3,FALSE),"")</f>
        <v>Education</v>
      </c>
      <c r="E103">
        <f>IFERROR(VLOOKUP(A103,Contracts!$A$4:$J$15,10,FALSE),0)</f>
        <v>6</v>
      </c>
      <c r="F103">
        <f>IFERROR(VLOOKUP(A103,Contracts!$A$4:$J$15,6,FALSE),0)</f>
        <v>4</v>
      </c>
      <c r="G103">
        <f>IFERROR(VLOOKUP(A103,Contracts!$A$4:$J$15,4,FALSE),0)</f>
        <v>68000</v>
      </c>
      <c r="H103">
        <f>IFERROR(VLOOKUP(D103,Settings!$A$4:$B$10,2,FALSE),1)</f>
        <v>2</v>
      </c>
      <c r="I103">
        <f>IFERROR(VLOOKUP(B103,'Supply Catalog'!$A$4:$J$13,5,FALSE),0)</f>
        <v>0.1</v>
      </c>
      <c r="J103" s="7">
        <f>ROUNDUP(E103*((I103*H103)+(G103*IFERROR(VLOOKUP(B103,'Supply Catalog'!$A$4:$J$13,6,FALSE),0))+(F103*IFERROR(VLOOKUP(B103,'Supply Catalog'!$A$4:$J$13,7,FALSE),0))),1)</f>
        <v>6.8999999999999995</v>
      </c>
      <c r="K103" s="7">
        <f t="shared" si="3"/>
        <v>29.900000000000002</v>
      </c>
      <c r="L103" t="str">
        <f>IFERROR(VLOOKUP(A103,Contracts!$A$4:$J$15,7,FALSE),"")</f>
        <v>Critical</v>
      </c>
    </row>
    <row r="104" spans="1:12">
      <c r="A104" t="s">
        <v>109</v>
      </c>
      <c r="B104" t="s">
        <v>173</v>
      </c>
      <c r="C104" t="s">
        <v>174</v>
      </c>
      <c r="D104" t="str">
        <f>IFERROR(VLOOKUP(A104,Contracts!$A$4:$J$15,3,FALSE),"")</f>
        <v>Industrial</v>
      </c>
      <c r="E104">
        <f>IFERROR(VLOOKUP(A104,Contracts!$A$4:$J$15,10,FALSE),0)</f>
        <v>6</v>
      </c>
      <c r="F104">
        <f>IFERROR(VLOOKUP(A104,Contracts!$A$4:$J$15,6,FALSE),0)</f>
        <v>1</v>
      </c>
      <c r="G104">
        <f>IFERROR(VLOOKUP(A104,Contracts!$A$4:$J$15,4,FALSE),0)</f>
        <v>8200</v>
      </c>
      <c r="H104">
        <f>IFERROR(VLOOKUP(D104,Settings!$A$4:$B$10,2,FALSE),1)</f>
        <v>1.7</v>
      </c>
      <c r="I104">
        <f>IFERROR(VLOOKUP(B104,'Supply Catalog'!$A$4:$J$13,5,FALSE),0)</f>
        <v>0.18</v>
      </c>
      <c r="J104" s="7">
        <f>ROUNDUP(E104*((I104*H104)+(G104*IFERROR(VLOOKUP(B104,'Supply Catalog'!$A$4:$J$13,6,FALSE),0))+(F104*IFERROR(VLOOKUP(B104,'Supply Catalog'!$A$4:$J$13,7,FALSE),0))),1)</f>
        <v>2.9</v>
      </c>
      <c r="K104" s="7">
        <f t="shared" si="3"/>
        <v>12.6</v>
      </c>
      <c r="L104" t="str">
        <f>IFERROR(VLOOKUP(A104,Contracts!$A$4:$J$15,7,FALSE),"")</f>
        <v>Normal</v>
      </c>
    </row>
    <row r="105" spans="1:12">
      <c r="A105" t="s">
        <v>109</v>
      </c>
      <c r="B105" t="s">
        <v>179</v>
      </c>
      <c r="C105" t="s">
        <v>180</v>
      </c>
      <c r="D105" t="str">
        <f>IFERROR(VLOOKUP(A105,Contracts!$A$4:$J$15,3,FALSE),"")</f>
        <v>Industrial</v>
      </c>
      <c r="E105">
        <f>IFERROR(VLOOKUP(A105,Contracts!$A$4:$J$15,10,FALSE),0)</f>
        <v>6</v>
      </c>
      <c r="F105">
        <f>IFERROR(VLOOKUP(A105,Contracts!$A$4:$J$15,6,FALSE),0)</f>
        <v>1</v>
      </c>
      <c r="G105">
        <f>IFERROR(VLOOKUP(A105,Contracts!$A$4:$J$15,4,FALSE),0)</f>
        <v>8200</v>
      </c>
      <c r="H105">
        <f>IFERROR(VLOOKUP(D105,Settings!$A$4:$B$10,2,FALSE),1)</f>
        <v>1.7</v>
      </c>
      <c r="I105">
        <f>IFERROR(VLOOKUP(B105,'Supply Catalog'!$A$4:$J$13,5,FALSE),0)</f>
        <v>0.45</v>
      </c>
      <c r="J105" s="7">
        <f>ROUNDUP(E105*((I105*H105)+(G105*IFERROR(VLOOKUP(B105,'Supply Catalog'!$A$4:$J$13,6,FALSE),0))+(F105*IFERROR(VLOOKUP(B105,'Supply Catalog'!$A$4:$J$13,7,FALSE),0))),1)</f>
        <v>5.5</v>
      </c>
      <c r="K105" s="7">
        <f t="shared" si="3"/>
        <v>23.900000000000002</v>
      </c>
      <c r="L105" t="str">
        <f>IFERROR(VLOOKUP(A105,Contracts!$A$4:$J$15,7,FALSE),"")</f>
        <v>Normal</v>
      </c>
    </row>
    <row r="106" spans="1:12">
      <c r="A106" t="s">
        <v>109</v>
      </c>
      <c r="B106" t="s">
        <v>184</v>
      </c>
      <c r="C106" t="s">
        <v>185</v>
      </c>
      <c r="D106" t="str">
        <f>IFERROR(VLOOKUP(A106,Contracts!$A$4:$J$15,3,FALSE),"")</f>
        <v>Industrial</v>
      </c>
      <c r="E106">
        <f>IFERROR(VLOOKUP(A106,Contracts!$A$4:$J$15,10,FALSE),0)</f>
        <v>6</v>
      </c>
      <c r="F106">
        <f>IFERROR(VLOOKUP(A106,Contracts!$A$4:$J$15,6,FALSE),0)</f>
        <v>1</v>
      </c>
      <c r="G106">
        <f>IFERROR(VLOOKUP(A106,Contracts!$A$4:$J$15,4,FALSE),0)</f>
        <v>8200</v>
      </c>
      <c r="H106">
        <f>IFERROR(VLOOKUP(D106,Settings!$A$4:$B$10,2,FALSE),1)</f>
        <v>1.7</v>
      </c>
      <c r="I106">
        <f>IFERROR(VLOOKUP(B106,'Supply Catalog'!$A$4:$J$13,5,FALSE),0)</f>
        <v>0.12</v>
      </c>
      <c r="J106" s="7">
        <f>ROUNDUP(E106*((I106*H106)+(G106*IFERROR(VLOOKUP(B106,'Supply Catalog'!$A$4:$J$13,6,FALSE),0))+(F106*IFERROR(VLOOKUP(B106,'Supply Catalog'!$A$4:$J$13,7,FALSE),0))),1)</f>
        <v>2.5</v>
      </c>
      <c r="K106" s="7">
        <f t="shared" si="3"/>
        <v>10.9</v>
      </c>
      <c r="L106" t="str">
        <f>IFERROR(VLOOKUP(A106,Contracts!$A$4:$J$15,7,FALSE),"")</f>
        <v>Normal</v>
      </c>
    </row>
    <row r="107" spans="1:12">
      <c r="A107" t="s">
        <v>109</v>
      </c>
      <c r="B107" t="s">
        <v>190</v>
      </c>
      <c r="C107" t="s">
        <v>191</v>
      </c>
      <c r="D107" t="str">
        <f>IFERROR(VLOOKUP(A107,Contracts!$A$4:$J$15,3,FALSE),"")</f>
        <v>Industrial</v>
      </c>
      <c r="E107">
        <f>IFERROR(VLOOKUP(A107,Contracts!$A$4:$J$15,10,FALSE),0)</f>
        <v>6</v>
      </c>
      <c r="F107">
        <f>IFERROR(VLOOKUP(A107,Contracts!$A$4:$J$15,6,FALSE),0)</f>
        <v>1</v>
      </c>
      <c r="G107">
        <f>IFERROR(VLOOKUP(A107,Contracts!$A$4:$J$15,4,FALSE),0)</f>
        <v>8200</v>
      </c>
      <c r="H107">
        <f>IFERROR(VLOOKUP(D107,Settings!$A$4:$B$10,2,FALSE),1)</f>
        <v>1.7</v>
      </c>
      <c r="I107">
        <f>IFERROR(VLOOKUP(B107,'Supply Catalog'!$A$4:$J$13,5,FALSE),0)</f>
        <v>0.08</v>
      </c>
      <c r="J107" s="7">
        <f>ROUNDUP(E107*((I107*H107)+(G107*IFERROR(VLOOKUP(B107,'Supply Catalog'!$A$4:$J$13,6,FALSE),0))+(F107*IFERROR(VLOOKUP(B107,'Supply Catalog'!$A$4:$J$13,7,FALSE),0))),1)</f>
        <v>1.5</v>
      </c>
      <c r="K107" s="7">
        <f t="shared" si="3"/>
        <v>6.5</v>
      </c>
      <c r="L107" t="str">
        <f>IFERROR(VLOOKUP(A107,Contracts!$A$4:$J$15,7,FALSE),"")</f>
        <v>Normal</v>
      </c>
    </row>
    <row r="108" spans="1:12">
      <c r="A108" t="s">
        <v>109</v>
      </c>
      <c r="B108" t="s">
        <v>193</v>
      </c>
      <c r="C108" t="s">
        <v>194</v>
      </c>
      <c r="D108" t="str">
        <f>IFERROR(VLOOKUP(A108,Contracts!$A$4:$J$15,3,FALSE),"")</f>
        <v>Industrial</v>
      </c>
      <c r="E108">
        <f>IFERROR(VLOOKUP(A108,Contracts!$A$4:$J$15,10,FALSE),0)</f>
        <v>6</v>
      </c>
      <c r="F108">
        <f>IFERROR(VLOOKUP(A108,Contracts!$A$4:$J$15,6,FALSE),0)</f>
        <v>1</v>
      </c>
      <c r="G108">
        <f>IFERROR(VLOOKUP(A108,Contracts!$A$4:$J$15,4,FALSE),0)</f>
        <v>8200</v>
      </c>
      <c r="H108">
        <f>IFERROR(VLOOKUP(D108,Settings!$A$4:$B$10,2,FALSE),1)</f>
        <v>1.7</v>
      </c>
      <c r="I108">
        <f>IFERROR(VLOOKUP(B108,'Supply Catalog'!$A$4:$J$13,5,FALSE),0)</f>
        <v>0.2</v>
      </c>
      <c r="J108" s="7">
        <f>ROUNDUP(E108*((I108*H108)+(G108*IFERROR(VLOOKUP(B108,'Supply Catalog'!$A$4:$J$13,6,FALSE),0))+(F108*IFERROR(VLOOKUP(B108,'Supply Catalog'!$A$4:$J$13,7,FALSE),0))),1)</f>
        <v>3.3000000000000003</v>
      </c>
      <c r="K108" s="7">
        <f t="shared" si="3"/>
        <v>14.299999999999999</v>
      </c>
      <c r="L108" t="str">
        <f>IFERROR(VLOOKUP(A108,Contracts!$A$4:$J$15,7,FALSE),"")</f>
        <v>Normal</v>
      </c>
    </row>
    <row r="109" spans="1:12">
      <c r="A109" t="s">
        <v>109</v>
      </c>
      <c r="B109" t="s">
        <v>197</v>
      </c>
      <c r="C109" t="s">
        <v>198</v>
      </c>
      <c r="D109" t="str">
        <f>IFERROR(VLOOKUP(A109,Contracts!$A$4:$J$15,3,FALSE),"")</f>
        <v>Industrial</v>
      </c>
      <c r="E109">
        <f>IFERROR(VLOOKUP(A109,Contracts!$A$4:$J$15,10,FALSE),0)</f>
        <v>6</v>
      </c>
      <c r="F109">
        <f>IFERROR(VLOOKUP(A109,Contracts!$A$4:$J$15,6,FALSE),0)</f>
        <v>1</v>
      </c>
      <c r="G109">
        <f>IFERROR(VLOOKUP(A109,Contracts!$A$4:$J$15,4,FALSE),0)</f>
        <v>8200</v>
      </c>
      <c r="H109">
        <f>IFERROR(VLOOKUP(D109,Settings!$A$4:$B$10,2,FALSE),1)</f>
        <v>1.7</v>
      </c>
      <c r="I109">
        <f>IFERROR(VLOOKUP(B109,'Supply Catalog'!$A$4:$J$13,5,FALSE),0)</f>
        <v>0.16</v>
      </c>
      <c r="J109" s="7">
        <f>ROUNDUP(E109*((I109*H109)+(G109*IFERROR(VLOOKUP(B109,'Supply Catalog'!$A$4:$J$13,6,FALSE),0))+(F109*IFERROR(VLOOKUP(B109,'Supply Catalog'!$A$4:$J$13,7,FALSE),0))),1)</f>
        <v>2.8000000000000003</v>
      </c>
      <c r="K109" s="7">
        <f t="shared" si="3"/>
        <v>12.2</v>
      </c>
      <c r="L109" t="str">
        <f>IFERROR(VLOOKUP(A109,Contracts!$A$4:$J$15,7,FALSE),"")</f>
        <v>Normal</v>
      </c>
    </row>
    <row r="110" spans="1:12">
      <c r="A110" t="s">
        <v>109</v>
      </c>
      <c r="B110" t="s">
        <v>199</v>
      </c>
      <c r="C110" t="s">
        <v>200</v>
      </c>
      <c r="D110" t="str">
        <f>IFERROR(VLOOKUP(A110,Contracts!$A$4:$J$15,3,FALSE),"")</f>
        <v>Industrial</v>
      </c>
      <c r="E110">
        <f>IFERROR(VLOOKUP(A110,Contracts!$A$4:$J$15,10,FALSE),0)</f>
        <v>6</v>
      </c>
      <c r="F110">
        <f>IFERROR(VLOOKUP(A110,Contracts!$A$4:$J$15,6,FALSE),0)</f>
        <v>1</v>
      </c>
      <c r="G110">
        <f>IFERROR(VLOOKUP(A110,Contracts!$A$4:$J$15,4,FALSE),0)</f>
        <v>8200</v>
      </c>
      <c r="H110">
        <f>IFERROR(VLOOKUP(D110,Settings!$A$4:$B$10,2,FALSE),1)</f>
        <v>1.7</v>
      </c>
      <c r="I110">
        <f>IFERROR(VLOOKUP(B110,'Supply Catalog'!$A$4:$J$13,5,FALSE),0)</f>
        <v>0.06</v>
      </c>
      <c r="J110" s="7">
        <f>ROUNDUP(E110*((I110*H110)+(G110*IFERROR(VLOOKUP(B110,'Supply Catalog'!$A$4:$J$13,6,FALSE),0))+(F110*IFERROR(VLOOKUP(B110,'Supply Catalog'!$A$4:$J$13,7,FALSE),0))),1)</f>
        <v>1.3</v>
      </c>
      <c r="K110" s="7">
        <f t="shared" si="3"/>
        <v>5.6999999999999993</v>
      </c>
      <c r="L110" t="str">
        <f>IFERROR(VLOOKUP(A110,Contracts!$A$4:$J$15,7,FALSE),"")</f>
        <v>Normal</v>
      </c>
    </row>
    <row r="111" spans="1:12">
      <c r="A111" t="s">
        <v>109</v>
      </c>
      <c r="B111" t="s">
        <v>204</v>
      </c>
      <c r="C111" t="s">
        <v>205</v>
      </c>
      <c r="D111" t="str">
        <f>IFERROR(VLOOKUP(A111,Contracts!$A$4:$J$15,3,FALSE),"")</f>
        <v>Industrial</v>
      </c>
      <c r="E111">
        <f>IFERROR(VLOOKUP(A111,Contracts!$A$4:$J$15,10,FALSE),0)</f>
        <v>6</v>
      </c>
      <c r="F111">
        <f>IFERROR(VLOOKUP(A111,Contracts!$A$4:$J$15,6,FALSE),0)</f>
        <v>1</v>
      </c>
      <c r="G111">
        <f>IFERROR(VLOOKUP(A111,Contracts!$A$4:$J$15,4,FALSE),0)</f>
        <v>8200</v>
      </c>
      <c r="H111">
        <f>IFERROR(VLOOKUP(D111,Settings!$A$4:$B$10,2,FALSE),1)</f>
        <v>1.7</v>
      </c>
      <c r="I111">
        <f>IFERROR(VLOOKUP(B111,'Supply Catalog'!$A$4:$J$13,5,FALSE),0)</f>
        <v>0.04</v>
      </c>
      <c r="J111" s="7">
        <f>ROUNDUP(E111*((I111*H111)+(G111*IFERROR(VLOOKUP(B111,'Supply Catalog'!$A$4:$J$13,6,FALSE),0))+(F111*IFERROR(VLOOKUP(B111,'Supply Catalog'!$A$4:$J$13,7,FALSE),0))),1)</f>
        <v>0.79999999999999993</v>
      </c>
      <c r="K111" s="7">
        <f t="shared" si="3"/>
        <v>3.5</v>
      </c>
      <c r="L111" t="str">
        <f>IFERROR(VLOOKUP(A111,Contracts!$A$4:$J$15,7,FALSE),"")</f>
        <v>Normal</v>
      </c>
    </row>
    <row r="112" spans="1:12">
      <c r="A112" t="s">
        <v>109</v>
      </c>
      <c r="B112" t="s">
        <v>208</v>
      </c>
      <c r="C112" t="s">
        <v>209</v>
      </c>
      <c r="D112" t="str">
        <f>IFERROR(VLOOKUP(A112,Contracts!$A$4:$J$15,3,FALSE),"")</f>
        <v>Industrial</v>
      </c>
      <c r="E112">
        <f>IFERROR(VLOOKUP(A112,Contracts!$A$4:$J$15,10,FALSE),0)</f>
        <v>6</v>
      </c>
      <c r="F112">
        <f>IFERROR(VLOOKUP(A112,Contracts!$A$4:$J$15,6,FALSE),0)</f>
        <v>1</v>
      </c>
      <c r="G112">
        <f>IFERROR(VLOOKUP(A112,Contracts!$A$4:$J$15,4,FALSE),0)</f>
        <v>8200</v>
      </c>
      <c r="H112">
        <f>IFERROR(VLOOKUP(D112,Settings!$A$4:$B$10,2,FALSE),1)</f>
        <v>1.7</v>
      </c>
      <c r="I112">
        <f>IFERROR(VLOOKUP(B112,'Supply Catalog'!$A$4:$J$13,5,FALSE),0)</f>
        <v>0.1</v>
      </c>
      <c r="J112" s="7">
        <f>ROUNDUP(E112*((I112*H112)+(G112*IFERROR(VLOOKUP(B112,'Supply Catalog'!$A$4:$J$13,6,FALSE),0))+(F112*IFERROR(VLOOKUP(B112,'Supply Catalog'!$A$4:$J$13,7,FALSE),0))),1)</f>
        <v>2.2000000000000002</v>
      </c>
      <c r="K112" s="7">
        <f t="shared" si="3"/>
        <v>9.6</v>
      </c>
      <c r="L112" t="str">
        <f>IFERROR(VLOOKUP(A112,Contracts!$A$4:$J$15,7,FALSE),"")</f>
        <v>Normal</v>
      </c>
    </row>
    <row r="113" spans="1:12">
      <c r="A113" t="s">
        <v>109</v>
      </c>
      <c r="B113" t="s">
        <v>211</v>
      </c>
      <c r="C113" t="s">
        <v>212</v>
      </c>
      <c r="D113" t="str">
        <f>IFERROR(VLOOKUP(A113,Contracts!$A$4:$J$15,3,FALSE),"")</f>
        <v>Industrial</v>
      </c>
      <c r="E113">
        <f>IFERROR(VLOOKUP(A113,Contracts!$A$4:$J$15,10,FALSE),0)</f>
        <v>6</v>
      </c>
      <c r="F113">
        <f>IFERROR(VLOOKUP(A113,Contracts!$A$4:$J$15,6,FALSE),0)</f>
        <v>1</v>
      </c>
      <c r="G113">
        <f>IFERROR(VLOOKUP(A113,Contracts!$A$4:$J$15,4,FALSE),0)</f>
        <v>8200</v>
      </c>
      <c r="H113">
        <f>IFERROR(VLOOKUP(D113,Settings!$A$4:$B$10,2,FALSE),1)</f>
        <v>1.7</v>
      </c>
      <c r="I113">
        <f>IFERROR(VLOOKUP(B113,'Supply Catalog'!$A$4:$J$13,5,FALSE),0)</f>
        <v>0.1</v>
      </c>
      <c r="J113" s="7">
        <f>ROUNDUP(E113*((I113*H113)+(G113*IFERROR(VLOOKUP(B113,'Supply Catalog'!$A$4:$J$13,6,FALSE),0))+(F113*IFERROR(VLOOKUP(B113,'Supply Catalog'!$A$4:$J$13,7,FALSE),0))),1)</f>
        <v>1.8</v>
      </c>
      <c r="K113" s="7">
        <f t="shared" si="3"/>
        <v>7.8</v>
      </c>
      <c r="L113" t="str">
        <f>IFERROR(VLOOKUP(A113,Contracts!$A$4:$J$15,7,FALSE),"")</f>
        <v>Normal</v>
      </c>
    </row>
    <row r="114" spans="1:12">
      <c r="A114" t="s">
        <v>111</v>
      </c>
      <c r="B114" t="s">
        <v>173</v>
      </c>
      <c r="C114" t="s">
        <v>174</v>
      </c>
      <c r="D114" t="str">
        <f>IFERROR(VLOOKUP(A114,Contracts!$A$4:$J$15,3,FALSE),"")</f>
        <v>Light Office</v>
      </c>
      <c r="E114">
        <f>IFERROR(VLOOKUP(A114,Contracts!$A$4:$J$15,10,FALSE),0)</f>
        <v>6</v>
      </c>
      <c r="F114">
        <f>IFERROR(VLOOKUP(A114,Contracts!$A$4:$J$15,6,FALSE),0)</f>
        <v>2</v>
      </c>
      <c r="G114">
        <f>IFERROR(VLOOKUP(A114,Contracts!$A$4:$J$15,4,FALSE),0)</f>
        <v>16000</v>
      </c>
      <c r="H114">
        <f>IFERROR(VLOOKUP(D114,Settings!$A$4:$B$10,2,FALSE),1)</f>
        <v>0.7</v>
      </c>
      <c r="I114">
        <f>IFERROR(VLOOKUP(B114,'Supply Catalog'!$A$4:$J$13,5,FALSE),0)</f>
        <v>0.18</v>
      </c>
      <c r="J114" s="7">
        <f>ROUNDUP(E114*((I114*H114)+(G114*IFERROR(VLOOKUP(B114,'Supply Catalog'!$A$4:$J$13,6,FALSE),0))+(F114*IFERROR(VLOOKUP(B114,'Supply Catalog'!$A$4:$J$13,7,FALSE),0))),1)</f>
        <v>2.8000000000000003</v>
      </c>
      <c r="K114" s="7">
        <f t="shared" si="3"/>
        <v>12.2</v>
      </c>
      <c r="L114" t="str">
        <f>IFERROR(VLOOKUP(A114,Contracts!$A$4:$J$15,7,FALSE),"")</f>
        <v>Normal</v>
      </c>
    </row>
    <row r="115" spans="1:12">
      <c r="A115" t="s">
        <v>111</v>
      </c>
      <c r="B115" t="s">
        <v>179</v>
      </c>
      <c r="C115" t="s">
        <v>180</v>
      </c>
      <c r="D115" t="str">
        <f>IFERROR(VLOOKUP(A115,Contracts!$A$4:$J$15,3,FALSE),"")</f>
        <v>Light Office</v>
      </c>
      <c r="E115">
        <f>IFERROR(VLOOKUP(A115,Contracts!$A$4:$J$15,10,FALSE),0)</f>
        <v>6</v>
      </c>
      <c r="F115">
        <f>IFERROR(VLOOKUP(A115,Contracts!$A$4:$J$15,6,FALSE),0)</f>
        <v>2</v>
      </c>
      <c r="G115">
        <f>IFERROR(VLOOKUP(A115,Contracts!$A$4:$J$15,4,FALSE),0)</f>
        <v>16000</v>
      </c>
      <c r="H115">
        <f>IFERROR(VLOOKUP(D115,Settings!$A$4:$B$10,2,FALSE),1)</f>
        <v>0.7</v>
      </c>
      <c r="I115">
        <f>IFERROR(VLOOKUP(B115,'Supply Catalog'!$A$4:$J$13,5,FALSE),0)</f>
        <v>0.45</v>
      </c>
      <c r="J115" s="7">
        <f>ROUNDUP(E115*((I115*H115)+(G115*IFERROR(VLOOKUP(B115,'Supply Catalog'!$A$4:$J$13,6,FALSE),0))+(F115*IFERROR(VLOOKUP(B115,'Supply Catalog'!$A$4:$J$13,7,FALSE),0))),1)</f>
        <v>3.6</v>
      </c>
      <c r="K115" s="7">
        <f t="shared" si="3"/>
        <v>15.6</v>
      </c>
      <c r="L115" t="str">
        <f>IFERROR(VLOOKUP(A115,Contracts!$A$4:$J$15,7,FALSE),"")</f>
        <v>Normal</v>
      </c>
    </row>
    <row r="116" spans="1:12">
      <c r="A116" t="s">
        <v>111</v>
      </c>
      <c r="B116" t="s">
        <v>184</v>
      </c>
      <c r="C116" t="s">
        <v>185</v>
      </c>
      <c r="D116" t="str">
        <f>IFERROR(VLOOKUP(A116,Contracts!$A$4:$J$15,3,FALSE),"")</f>
        <v>Light Office</v>
      </c>
      <c r="E116">
        <f>IFERROR(VLOOKUP(A116,Contracts!$A$4:$J$15,10,FALSE),0)</f>
        <v>6</v>
      </c>
      <c r="F116">
        <f>IFERROR(VLOOKUP(A116,Contracts!$A$4:$J$15,6,FALSE),0)</f>
        <v>2</v>
      </c>
      <c r="G116">
        <f>IFERROR(VLOOKUP(A116,Contracts!$A$4:$J$15,4,FALSE),0)</f>
        <v>16000</v>
      </c>
      <c r="H116">
        <f>IFERROR(VLOOKUP(D116,Settings!$A$4:$B$10,2,FALSE),1)</f>
        <v>0.7</v>
      </c>
      <c r="I116">
        <f>IFERROR(VLOOKUP(B116,'Supply Catalog'!$A$4:$J$13,5,FALSE),0)</f>
        <v>0.12</v>
      </c>
      <c r="J116" s="7">
        <f>ROUNDUP(E116*((I116*H116)+(G116*IFERROR(VLOOKUP(B116,'Supply Catalog'!$A$4:$J$13,6,FALSE),0))+(F116*IFERROR(VLOOKUP(B116,'Supply Catalog'!$A$4:$J$13,7,FALSE),0))),1)</f>
        <v>3</v>
      </c>
      <c r="K116" s="7">
        <f t="shared" si="3"/>
        <v>13</v>
      </c>
      <c r="L116" t="str">
        <f>IFERROR(VLOOKUP(A116,Contracts!$A$4:$J$15,7,FALSE),"")</f>
        <v>Normal</v>
      </c>
    </row>
    <row r="117" spans="1:12">
      <c r="A117" t="s">
        <v>111</v>
      </c>
      <c r="B117" t="s">
        <v>190</v>
      </c>
      <c r="C117" t="s">
        <v>191</v>
      </c>
      <c r="D117" t="str">
        <f>IFERROR(VLOOKUP(A117,Contracts!$A$4:$J$15,3,FALSE),"")</f>
        <v>Light Office</v>
      </c>
      <c r="E117">
        <f>IFERROR(VLOOKUP(A117,Contracts!$A$4:$J$15,10,FALSE),0)</f>
        <v>6</v>
      </c>
      <c r="F117">
        <f>IFERROR(VLOOKUP(A117,Contracts!$A$4:$J$15,6,FALSE),0)</f>
        <v>2</v>
      </c>
      <c r="G117">
        <f>IFERROR(VLOOKUP(A117,Contracts!$A$4:$J$15,4,FALSE),0)</f>
        <v>16000</v>
      </c>
      <c r="H117">
        <f>IFERROR(VLOOKUP(D117,Settings!$A$4:$B$10,2,FALSE),1)</f>
        <v>0.7</v>
      </c>
      <c r="I117">
        <f>IFERROR(VLOOKUP(B117,'Supply Catalog'!$A$4:$J$13,5,FALSE),0)</f>
        <v>0.08</v>
      </c>
      <c r="J117" s="7">
        <f>ROUNDUP(E117*((I117*H117)+(G117*IFERROR(VLOOKUP(B117,'Supply Catalog'!$A$4:$J$13,6,FALSE),0))+(F117*IFERROR(VLOOKUP(B117,'Supply Catalog'!$A$4:$J$13,7,FALSE),0))),1)</f>
        <v>1.7000000000000002</v>
      </c>
      <c r="K117" s="7">
        <f t="shared" si="3"/>
        <v>7.3999999999999995</v>
      </c>
      <c r="L117" t="str">
        <f>IFERROR(VLOOKUP(A117,Contracts!$A$4:$J$15,7,FALSE),"")</f>
        <v>Normal</v>
      </c>
    </row>
    <row r="118" spans="1:12">
      <c r="A118" t="s">
        <v>111</v>
      </c>
      <c r="B118" t="s">
        <v>193</v>
      </c>
      <c r="C118" t="s">
        <v>194</v>
      </c>
      <c r="D118" t="str">
        <f>IFERROR(VLOOKUP(A118,Contracts!$A$4:$J$15,3,FALSE),"")</f>
        <v>Light Office</v>
      </c>
      <c r="E118">
        <f>IFERROR(VLOOKUP(A118,Contracts!$A$4:$J$15,10,FALSE),0)</f>
        <v>6</v>
      </c>
      <c r="F118">
        <f>IFERROR(VLOOKUP(A118,Contracts!$A$4:$J$15,6,FALSE),0)</f>
        <v>2</v>
      </c>
      <c r="G118">
        <f>IFERROR(VLOOKUP(A118,Contracts!$A$4:$J$15,4,FALSE),0)</f>
        <v>16000</v>
      </c>
      <c r="H118">
        <f>IFERROR(VLOOKUP(D118,Settings!$A$4:$B$10,2,FALSE),1)</f>
        <v>0.7</v>
      </c>
      <c r="I118">
        <f>IFERROR(VLOOKUP(B118,'Supply Catalog'!$A$4:$J$13,5,FALSE),0)</f>
        <v>0.2</v>
      </c>
      <c r="J118" s="7">
        <f>ROUNDUP(E118*((I118*H118)+(G118*IFERROR(VLOOKUP(B118,'Supply Catalog'!$A$4:$J$13,6,FALSE),0))+(F118*IFERROR(VLOOKUP(B118,'Supply Catalog'!$A$4:$J$13,7,FALSE),0))),1)</f>
        <v>3.3000000000000003</v>
      </c>
      <c r="K118" s="7">
        <f t="shared" si="3"/>
        <v>14.299999999999999</v>
      </c>
      <c r="L118" t="str">
        <f>IFERROR(VLOOKUP(A118,Contracts!$A$4:$J$15,7,FALSE),"")</f>
        <v>Normal</v>
      </c>
    </row>
    <row r="119" spans="1:12">
      <c r="A119" t="s">
        <v>111</v>
      </c>
      <c r="B119" t="s">
        <v>197</v>
      </c>
      <c r="C119" t="s">
        <v>198</v>
      </c>
      <c r="D119" t="str">
        <f>IFERROR(VLOOKUP(A119,Contracts!$A$4:$J$15,3,FALSE),"")</f>
        <v>Light Office</v>
      </c>
      <c r="E119">
        <f>IFERROR(VLOOKUP(A119,Contracts!$A$4:$J$15,10,FALSE),0)</f>
        <v>6</v>
      </c>
      <c r="F119">
        <f>IFERROR(VLOOKUP(A119,Contracts!$A$4:$J$15,6,FALSE),0)</f>
        <v>2</v>
      </c>
      <c r="G119">
        <f>IFERROR(VLOOKUP(A119,Contracts!$A$4:$J$15,4,FALSE),0)</f>
        <v>16000</v>
      </c>
      <c r="H119">
        <f>IFERROR(VLOOKUP(D119,Settings!$A$4:$B$10,2,FALSE),1)</f>
        <v>0.7</v>
      </c>
      <c r="I119">
        <f>IFERROR(VLOOKUP(B119,'Supply Catalog'!$A$4:$J$13,5,FALSE),0)</f>
        <v>0.16</v>
      </c>
      <c r="J119" s="7">
        <f>ROUNDUP(E119*((I119*H119)+(G119*IFERROR(VLOOKUP(B119,'Supply Catalog'!$A$4:$J$13,6,FALSE),0))+(F119*IFERROR(VLOOKUP(B119,'Supply Catalog'!$A$4:$J$13,7,FALSE),0))),1)</f>
        <v>2.9</v>
      </c>
      <c r="K119" s="7">
        <f t="shared" si="3"/>
        <v>12.6</v>
      </c>
      <c r="L119" t="str">
        <f>IFERROR(VLOOKUP(A119,Contracts!$A$4:$J$15,7,FALSE),"")</f>
        <v>Normal</v>
      </c>
    </row>
    <row r="120" spans="1:12">
      <c r="A120" t="s">
        <v>111</v>
      </c>
      <c r="B120" t="s">
        <v>199</v>
      </c>
      <c r="C120" t="s">
        <v>200</v>
      </c>
      <c r="D120" t="str">
        <f>IFERROR(VLOOKUP(A120,Contracts!$A$4:$J$15,3,FALSE),"")</f>
        <v>Light Office</v>
      </c>
      <c r="E120">
        <f>IFERROR(VLOOKUP(A120,Contracts!$A$4:$J$15,10,FALSE),0)</f>
        <v>6</v>
      </c>
      <c r="F120">
        <f>IFERROR(VLOOKUP(A120,Contracts!$A$4:$J$15,6,FALSE),0)</f>
        <v>2</v>
      </c>
      <c r="G120">
        <f>IFERROR(VLOOKUP(A120,Contracts!$A$4:$J$15,4,FALSE),0)</f>
        <v>16000</v>
      </c>
      <c r="H120">
        <f>IFERROR(VLOOKUP(D120,Settings!$A$4:$B$10,2,FALSE),1)</f>
        <v>0.7</v>
      </c>
      <c r="I120">
        <f>IFERROR(VLOOKUP(B120,'Supply Catalog'!$A$4:$J$13,5,FALSE),0)</f>
        <v>0.06</v>
      </c>
      <c r="J120" s="7">
        <f>ROUNDUP(E120*((I120*H120)+(G120*IFERROR(VLOOKUP(B120,'Supply Catalog'!$A$4:$J$13,6,FALSE),0))+(F120*IFERROR(VLOOKUP(B120,'Supply Catalog'!$A$4:$J$13,7,FALSE),0))),1)</f>
        <v>1.5</v>
      </c>
      <c r="K120" s="7">
        <f t="shared" si="3"/>
        <v>6.5</v>
      </c>
      <c r="L120" t="str">
        <f>IFERROR(VLOOKUP(A120,Contracts!$A$4:$J$15,7,FALSE),"")</f>
        <v>Normal</v>
      </c>
    </row>
    <row r="121" spans="1:12">
      <c r="A121" t="s">
        <v>111</v>
      </c>
      <c r="B121" t="s">
        <v>204</v>
      </c>
      <c r="C121" t="s">
        <v>205</v>
      </c>
      <c r="D121" t="str">
        <f>IFERROR(VLOOKUP(A121,Contracts!$A$4:$J$15,3,FALSE),"")</f>
        <v>Light Office</v>
      </c>
      <c r="E121">
        <f>IFERROR(VLOOKUP(A121,Contracts!$A$4:$J$15,10,FALSE),0)</f>
        <v>6</v>
      </c>
      <c r="F121">
        <f>IFERROR(VLOOKUP(A121,Contracts!$A$4:$J$15,6,FALSE),0)</f>
        <v>2</v>
      </c>
      <c r="G121">
        <f>IFERROR(VLOOKUP(A121,Contracts!$A$4:$J$15,4,FALSE),0)</f>
        <v>16000</v>
      </c>
      <c r="H121">
        <f>IFERROR(VLOOKUP(D121,Settings!$A$4:$B$10,2,FALSE),1)</f>
        <v>0.7</v>
      </c>
      <c r="I121">
        <f>IFERROR(VLOOKUP(B121,'Supply Catalog'!$A$4:$J$13,5,FALSE),0)</f>
        <v>0.04</v>
      </c>
      <c r="J121" s="7">
        <f>ROUNDUP(E121*((I121*H121)+(G121*IFERROR(VLOOKUP(B121,'Supply Catalog'!$A$4:$J$13,6,FALSE),0))+(F121*IFERROR(VLOOKUP(B121,'Supply Catalog'!$A$4:$J$13,7,FALSE),0))),1)</f>
        <v>0.79999999999999993</v>
      </c>
      <c r="K121" s="7">
        <f t="shared" si="3"/>
        <v>3.5</v>
      </c>
      <c r="L121" t="str">
        <f>IFERROR(VLOOKUP(A121,Contracts!$A$4:$J$15,7,FALSE),"")</f>
        <v>Normal</v>
      </c>
    </row>
    <row r="122" spans="1:12">
      <c r="A122" t="s">
        <v>111</v>
      </c>
      <c r="B122" t="s">
        <v>208</v>
      </c>
      <c r="C122" t="s">
        <v>209</v>
      </c>
      <c r="D122" t="str">
        <f>IFERROR(VLOOKUP(A122,Contracts!$A$4:$J$15,3,FALSE),"")</f>
        <v>Light Office</v>
      </c>
      <c r="E122">
        <f>IFERROR(VLOOKUP(A122,Contracts!$A$4:$J$15,10,FALSE),0)</f>
        <v>6</v>
      </c>
      <c r="F122">
        <f>IFERROR(VLOOKUP(A122,Contracts!$A$4:$J$15,6,FALSE),0)</f>
        <v>2</v>
      </c>
      <c r="G122">
        <f>IFERROR(VLOOKUP(A122,Contracts!$A$4:$J$15,4,FALSE),0)</f>
        <v>16000</v>
      </c>
      <c r="H122">
        <f>IFERROR(VLOOKUP(D122,Settings!$A$4:$B$10,2,FALSE),1)</f>
        <v>0.7</v>
      </c>
      <c r="I122">
        <f>IFERROR(VLOOKUP(B122,'Supply Catalog'!$A$4:$J$13,5,FALSE),0)</f>
        <v>0.1</v>
      </c>
      <c r="J122" s="7">
        <f>ROUNDUP(E122*((I122*H122)+(G122*IFERROR(VLOOKUP(B122,'Supply Catalog'!$A$4:$J$13,6,FALSE),0))+(F122*IFERROR(VLOOKUP(B122,'Supply Catalog'!$A$4:$J$13,7,FALSE),0))),1)</f>
        <v>2.7</v>
      </c>
      <c r="K122" s="7">
        <f t="shared" si="3"/>
        <v>11.7</v>
      </c>
      <c r="L122" t="str">
        <f>IFERROR(VLOOKUP(A122,Contracts!$A$4:$J$15,7,FALSE),"")</f>
        <v>Normal</v>
      </c>
    </row>
    <row r="123" spans="1:12">
      <c r="A123" t="s">
        <v>111</v>
      </c>
      <c r="B123" t="s">
        <v>211</v>
      </c>
      <c r="C123" t="s">
        <v>212</v>
      </c>
      <c r="D123" t="str">
        <f>IFERROR(VLOOKUP(A123,Contracts!$A$4:$J$15,3,FALSE),"")</f>
        <v>Light Office</v>
      </c>
      <c r="E123">
        <f>IFERROR(VLOOKUP(A123,Contracts!$A$4:$J$15,10,FALSE),0)</f>
        <v>6</v>
      </c>
      <c r="F123">
        <f>IFERROR(VLOOKUP(A123,Contracts!$A$4:$J$15,6,FALSE),0)</f>
        <v>2</v>
      </c>
      <c r="G123">
        <f>IFERROR(VLOOKUP(A123,Contracts!$A$4:$J$15,4,FALSE),0)</f>
        <v>16000</v>
      </c>
      <c r="H123">
        <f>IFERROR(VLOOKUP(D123,Settings!$A$4:$B$10,2,FALSE),1)</f>
        <v>0.7</v>
      </c>
      <c r="I123">
        <f>IFERROR(VLOOKUP(B123,'Supply Catalog'!$A$4:$J$13,5,FALSE),0)</f>
        <v>0.1</v>
      </c>
      <c r="J123" s="7">
        <f>ROUNDUP(E123*((I123*H123)+(G123*IFERROR(VLOOKUP(B123,'Supply Catalog'!$A$4:$J$13,6,FALSE),0))+(F123*IFERROR(VLOOKUP(B123,'Supply Catalog'!$A$4:$J$13,7,FALSE),0))),1)</f>
        <v>2</v>
      </c>
      <c r="K123" s="7">
        <f t="shared" si="3"/>
        <v>8.6999999999999993</v>
      </c>
      <c r="L123" t="str">
        <f>IFERROR(VLOOKUP(A123,Contracts!$A$4:$J$15,7,FALSE),"")</f>
        <v>Normal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3"/>
  <sheetViews>
    <sheetView workbookViewId="0"/>
  </sheetViews>
  <sheetFormatPr defaultRowHeight="14.25"/>
  <cols>
    <col min="1" max="1" width="36.125" customWidth="1"/>
    <col min="2" max="2" width="8.625" customWidth="1"/>
    <col min="3" max="3" width="19.75" customWidth="1"/>
    <col min="4" max="4" width="7.625" customWidth="1"/>
    <col min="5" max="5" width="8.75" customWidth="1"/>
    <col min="6" max="6" width="13.75" customWidth="1"/>
    <col min="7" max="7" width="13.875" customWidth="1"/>
    <col min="8" max="8" width="14.375" customWidth="1"/>
    <col min="9" max="9" width="21.25" customWidth="1"/>
    <col min="10" max="10" width="10.125" customWidth="1"/>
    <col min="11" max="11" width="14.75" customWidth="1"/>
    <col min="12" max="12" width="15.375" customWidth="1"/>
    <col min="13" max="13" width="12.5" customWidth="1"/>
    <col min="14" max="14" width="15.25" customWidth="1"/>
    <col min="15" max="26" width="16" customWidth="1"/>
  </cols>
  <sheetData>
    <row r="1" spans="1:26" ht="27.95" customHeight="1">
      <c r="A1" s="13" t="s">
        <v>239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0">
      <c r="A3" s="16" t="s">
        <v>240</v>
      </c>
      <c r="B3" s="16" t="s">
        <v>165</v>
      </c>
      <c r="C3" s="16" t="s">
        <v>33</v>
      </c>
      <c r="D3" s="16" t="s">
        <v>39</v>
      </c>
      <c r="E3" s="16" t="s">
        <v>70</v>
      </c>
      <c r="F3" s="16" t="s">
        <v>215</v>
      </c>
      <c r="G3" s="16" t="s">
        <v>35</v>
      </c>
      <c r="H3" s="16" t="s">
        <v>36</v>
      </c>
      <c r="I3" s="16" t="s">
        <v>241</v>
      </c>
      <c r="J3" s="16" t="s">
        <v>223</v>
      </c>
      <c r="K3" s="16" t="s">
        <v>242</v>
      </c>
      <c r="L3" s="16" t="s">
        <v>224</v>
      </c>
      <c r="M3" s="16" t="s">
        <v>243</v>
      </c>
      <c r="N3" s="16" t="s">
        <v>6</v>
      </c>
    </row>
    <row r="4" spans="1:26">
      <c r="A4" t="s">
        <v>244</v>
      </c>
      <c r="B4" t="s">
        <v>173</v>
      </c>
      <c r="C4" t="s">
        <v>174</v>
      </c>
      <c r="D4" t="str">
        <f>IF(IFERROR(VLOOKUP(B4,Inventory!$A$4:$K$13,11,FALSE),"")="ORDER","Draft","Not Needed")</f>
        <v>Draft</v>
      </c>
      <c r="E4" t="str">
        <f t="shared" ref="E4:E13" si="0">IF(D4="Draft",IF(F4&lt;=G4*0.75,"Critical","Normal"),"Low")</f>
        <v>Critical</v>
      </c>
      <c r="F4" s="11">
        <f>IFERROR(VLOOKUP(B4,Inventory!$A$4:$K$13,5,FALSE),0)</f>
        <v>28</v>
      </c>
      <c r="G4" s="11">
        <f>IFERROR(VLOOKUP(B4,Inventory!$A$4:$K$13,9,FALSE),0)</f>
        <v>91</v>
      </c>
      <c r="H4" s="11">
        <f>IFERROR(VLOOKUP(B4,Inventory!$A$4:$K$13,10,FALSE),0)</f>
        <v>38</v>
      </c>
      <c r="I4" t="s">
        <v>177</v>
      </c>
      <c r="J4" s="18">
        <v>39</v>
      </c>
      <c r="K4" s="18">
        <f t="shared" ref="K4:K13" si="1">IF(D4="Draft",H4*J4,0)</f>
        <v>1482</v>
      </c>
      <c r="L4">
        <v>2</v>
      </c>
      <c r="M4" s="19">
        <f t="shared" ref="M4:M13" ca="1" si="2">IF(D4="Draft",TODAY()+L4,"")</f>
        <v>46150</v>
      </c>
    </row>
    <row r="5" spans="1:26">
      <c r="A5" t="s">
        <v>245</v>
      </c>
      <c r="B5" t="s">
        <v>179</v>
      </c>
      <c r="C5" t="s">
        <v>180</v>
      </c>
      <c r="D5" t="str">
        <f>IF(IFERROR(VLOOKUP(B5,Inventory!$A$4:$K$13,11,FALSE),"")="ORDER","Draft","Not Needed")</f>
        <v>Draft</v>
      </c>
      <c r="E5" t="str">
        <f t="shared" si="0"/>
        <v>Critical</v>
      </c>
      <c r="F5" s="11">
        <f>IFERROR(VLOOKUP(B5,Inventory!$A$4:$K$13,5,FALSE),0)</f>
        <v>45</v>
      </c>
      <c r="G5" s="11">
        <f>IFERROR(VLOOKUP(B5,Inventory!$A$4:$K$13,9,FALSE),0)</f>
        <v>132</v>
      </c>
      <c r="H5" s="11">
        <f>IFERROR(VLOOKUP(B5,Inventory!$A$4:$K$13,10,FALSE),0)</f>
        <v>75</v>
      </c>
      <c r="I5" t="s">
        <v>182</v>
      </c>
      <c r="J5" s="18">
        <v>38</v>
      </c>
      <c r="K5" s="18">
        <f t="shared" si="1"/>
        <v>2850</v>
      </c>
      <c r="L5">
        <v>3</v>
      </c>
      <c r="M5" s="19">
        <f t="shared" ca="1" si="2"/>
        <v>46151</v>
      </c>
    </row>
    <row r="6" spans="1:26">
      <c r="A6" t="s">
        <v>246</v>
      </c>
      <c r="B6" t="s">
        <v>184</v>
      </c>
      <c r="C6" t="s">
        <v>185</v>
      </c>
      <c r="D6" t="str">
        <f>IF(IFERROR(VLOOKUP(B6,Inventory!$A$4:$K$13,11,FALSE),"")="ORDER","Draft","Not Needed")</f>
        <v>Draft</v>
      </c>
      <c r="E6" t="str">
        <f t="shared" si="0"/>
        <v>Critical</v>
      </c>
      <c r="F6" s="11">
        <f>IFERROR(VLOOKUP(B6,Inventory!$A$4:$K$13,5,FALSE),0)</f>
        <v>14</v>
      </c>
      <c r="G6" s="11">
        <f>IFERROR(VLOOKUP(B6,Inventory!$A$4:$K$13,9,FALSE),0)</f>
        <v>83</v>
      </c>
      <c r="H6" s="11">
        <f>IFERROR(VLOOKUP(B6,Inventory!$A$4:$K$13,10,FALSE),0)</f>
        <v>22</v>
      </c>
      <c r="I6" t="s">
        <v>188</v>
      </c>
      <c r="J6" s="18">
        <v>24</v>
      </c>
      <c r="K6" s="18">
        <f t="shared" si="1"/>
        <v>528</v>
      </c>
      <c r="L6">
        <v>1</v>
      </c>
      <c r="M6" s="19">
        <f t="shared" ca="1" si="2"/>
        <v>46149</v>
      </c>
    </row>
    <row r="7" spans="1:26">
      <c r="A7" t="s">
        <v>247</v>
      </c>
      <c r="B7" t="s">
        <v>190</v>
      </c>
      <c r="C7" t="s">
        <v>191</v>
      </c>
      <c r="D7" t="str">
        <f>IF(IFERROR(VLOOKUP(B7,Inventory!$A$4:$K$13,11,FALSE),"")="ORDER","Draft","Not Needed")</f>
        <v>Draft</v>
      </c>
      <c r="E7" t="str">
        <f t="shared" si="0"/>
        <v>Critical</v>
      </c>
      <c r="F7" s="11">
        <f>IFERROR(VLOOKUP(B7,Inventory!$A$4:$K$13,5,FALSE),0)</f>
        <v>12</v>
      </c>
      <c r="G7" s="11">
        <f>IFERROR(VLOOKUP(B7,Inventory!$A$4:$K$13,9,FALSE),0)</f>
        <v>49</v>
      </c>
      <c r="H7" s="11">
        <f>IFERROR(VLOOKUP(B7,Inventory!$A$4:$K$13,10,FALSE),0)</f>
        <v>12</v>
      </c>
      <c r="I7" t="s">
        <v>177</v>
      </c>
      <c r="J7" s="18">
        <v>18</v>
      </c>
      <c r="K7" s="18">
        <f t="shared" si="1"/>
        <v>216</v>
      </c>
      <c r="L7">
        <v>4</v>
      </c>
      <c r="M7" s="19">
        <f t="shared" ca="1" si="2"/>
        <v>46152</v>
      </c>
    </row>
    <row r="8" spans="1:26">
      <c r="A8" t="s">
        <v>248</v>
      </c>
      <c r="B8" t="s">
        <v>193</v>
      </c>
      <c r="C8" t="s">
        <v>194</v>
      </c>
      <c r="D8" t="str">
        <f>IF(IFERROR(VLOOKUP(B8,Inventory!$A$4:$K$13,11,FALSE),"")="ORDER","Draft","Not Needed")</f>
        <v>Draft</v>
      </c>
      <c r="E8" t="str">
        <f t="shared" si="0"/>
        <v>Critical</v>
      </c>
      <c r="F8" s="11">
        <f>IFERROR(VLOOKUP(B8,Inventory!$A$4:$K$13,5,FALSE),0)</f>
        <v>18</v>
      </c>
      <c r="G8" s="11">
        <f>IFERROR(VLOOKUP(B8,Inventory!$A$4:$K$13,9,FALSE),0)</f>
        <v>96</v>
      </c>
      <c r="H8" s="11">
        <f>IFERROR(VLOOKUP(B8,Inventory!$A$4:$K$13,10,FALSE),0)</f>
        <v>24</v>
      </c>
      <c r="I8" t="s">
        <v>182</v>
      </c>
      <c r="J8" s="18">
        <v>44</v>
      </c>
      <c r="K8" s="18">
        <f t="shared" si="1"/>
        <v>1056</v>
      </c>
      <c r="L8">
        <v>5</v>
      </c>
      <c r="M8" s="19">
        <f t="shared" ca="1" si="2"/>
        <v>46153</v>
      </c>
    </row>
    <row r="9" spans="1:26">
      <c r="A9" t="s">
        <v>249</v>
      </c>
      <c r="B9" t="s">
        <v>197</v>
      </c>
      <c r="C9" t="s">
        <v>198</v>
      </c>
      <c r="D9" t="str">
        <f>IF(IFERROR(VLOOKUP(B9,Inventory!$A$4:$K$13,11,FALSE),"")="ORDER","Draft","Not Needed")</f>
        <v>Draft</v>
      </c>
      <c r="E9" t="str">
        <f t="shared" si="0"/>
        <v>Critical</v>
      </c>
      <c r="F9" s="11">
        <f>IFERROR(VLOOKUP(B9,Inventory!$A$4:$K$13,5,FALSE),0)</f>
        <v>16</v>
      </c>
      <c r="G9" s="11">
        <f>IFERROR(VLOOKUP(B9,Inventory!$A$4:$K$13,9,FALSE),0)</f>
        <v>84</v>
      </c>
      <c r="H9" s="11">
        <f>IFERROR(VLOOKUP(B9,Inventory!$A$4:$K$13,10,FALSE),0)</f>
        <v>20</v>
      </c>
      <c r="I9" t="s">
        <v>177</v>
      </c>
      <c r="J9" s="18">
        <v>20</v>
      </c>
      <c r="K9" s="18">
        <f t="shared" si="1"/>
        <v>400</v>
      </c>
      <c r="L9">
        <v>2</v>
      </c>
      <c r="M9" s="19">
        <f t="shared" ca="1" si="2"/>
        <v>46150</v>
      </c>
    </row>
    <row r="10" spans="1:26">
      <c r="A10" t="s">
        <v>250</v>
      </c>
      <c r="B10" t="s">
        <v>199</v>
      </c>
      <c r="C10" t="s">
        <v>200</v>
      </c>
      <c r="D10" t="str">
        <f>IF(IFERROR(VLOOKUP(B10,Inventory!$A$4:$K$13,11,FALSE),"")="ORDER","Draft","Not Needed")</f>
        <v>Draft</v>
      </c>
      <c r="E10" t="str">
        <f t="shared" si="0"/>
        <v>Critical</v>
      </c>
      <c r="F10" s="11">
        <f>IFERROR(VLOOKUP(B10,Inventory!$A$4:$K$13,5,FALSE),0)</f>
        <v>20</v>
      </c>
      <c r="G10" s="11">
        <f>IFERROR(VLOOKUP(B10,Inventory!$A$4:$K$13,9,FALSE),0)</f>
        <v>42</v>
      </c>
      <c r="H10" s="11">
        <f>IFERROR(VLOOKUP(B10,Inventory!$A$4:$K$13,10,FALSE),0)</f>
        <v>10</v>
      </c>
      <c r="I10" t="s">
        <v>177</v>
      </c>
      <c r="J10" s="18">
        <v>7</v>
      </c>
      <c r="K10" s="18">
        <f t="shared" si="1"/>
        <v>70</v>
      </c>
      <c r="L10">
        <v>3</v>
      </c>
      <c r="M10" s="19">
        <f t="shared" ca="1" si="2"/>
        <v>46151</v>
      </c>
    </row>
    <row r="11" spans="1:26">
      <c r="A11" t="s">
        <v>251</v>
      </c>
      <c r="B11" t="s">
        <v>204</v>
      </c>
      <c r="C11" t="s">
        <v>205</v>
      </c>
      <c r="D11" t="str">
        <f>IF(IFERROR(VLOOKUP(B11,Inventory!$A$4:$K$13,11,FALSE),"")="ORDER","Draft","Not Needed")</f>
        <v>Draft</v>
      </c>
      <c r="E11" t="str">
        <f t="shared" si="0"/>
        <v>Critical</v>
      </c>
      <c r="F11" s="11">
        <f>IFERROR(VLOOKUP(B11,Inventory!$A$4:$K$13,5,FALSE),0)</f>
        <v>13</v>
      </c>
      <c r="G11" s="11">
        <f>IFERROR(VLOOKUP(B11,Inventory!$A$4:$K$13,9,FALSE),0)</f>
        <v>28</v>
      </c>
      <c r="H11" s="11">
        <f>IFERROR(VLOOKUP(B11,Inventory!$A$4:$K$13,10,FALSE),0)</f>
        <v>11</v>
      </c>
      <c r="I11" t="s">
        <v>188</v>
      </c>
      <c r="J11" s="18">
        <v>20</v>
      </c>
      <c r="K11" s="18">
        <f t="shared" si="1"/>
        <v>220</v>
      </c>
      <c r="L11">
        <v>4</v>
      </c>
      <c r="M11" s="19">
        <f t="shared" ca="1" si="2"/>
        <v>46152</v>
      </c>
    </row>
    <row r="12" spans="1:26">
      <c r="A12" t="s">
        <v>252</v>
      </c>
      <c r="B12" t="s">
        <v>208</v>
      </c>
      <c r="C12" t="s">
        <v>209</v>
      </c>
      <c r="D12" t="str">
        <f>IF(IFERROR(VLOOKUP(B12,Inventory!$A$4:$K$13,11,FALSE),"")="ORDER","Draft","Not Needed")</f>
        <v>Draft</v>
      </c>
      <c r="E12" t="str">
        <f t="shared" si="0"/>
        <v>Critical</v>
      </c>
      <c r="F12" s="11">
        <f>IFERROR(VLOOKUP(B12,Inventory!$A$4:$K$13,5,FALSE),0)</f>
        <v>10</v>
      </c>
      <c r="G12" s="11">
        <f>IFERROR(VLOOKUP(B12,Inventory!$A$4:$K$13,9,FALSE),0)</f>
        <v>74</v>
      </c>
      <c r="H12" s="11">
        <f>IFERROR(VLOOKUP(B12,Inventory!$A$4:$K$13,10,FALSE),0)</f>
        <v>20</v>
      </c>
      <c r="I12" t="s">
        <v>188</v>
      </c>
      <c r="J12" s="18">
        <v>12</v>
      </c>
      <c r="K12" s="18">
        <f t="shared" si="1"/>
        <v>240</v>
      </c>
      <c r="L12">
        <v>3</v>
      </c>
      <c r="M12" s="19">
        <f t="shared" ca="1" si="2"/>
        <v>46151</v>
      </c>
    </row>
    <row r="13" spans="1:26">
      <c r="A13" t="s">
        <v>253</v>
      </c>
      <c r="B13" t="s">
        <v>211</v>
      </c>
      <c r="C13" t="s">
        <v>212</v>
      </c>
      <c r="D13" t="str">
        <f>IF(IFERROR(VLOOKUP(B13,Inventory!$A$4:$K$13,11,FALSE),"")="ORDER","Draft","Not Needed")</f>
        <v>Draft</v>
      </c>
      <c r="E13" t="str">
        <f t="shared" si="0"/>
        <v>Critical</v>
      </c>
      <c r="F13" s="11">
        <f>IFERROR(VLOOKUP(B13,Inventory!$A$4:$K$13,5,FALSE),0)</f>
        <v>11</v>
      </c>
      <c r="G13" s="11">
        <f>IFERROR(VLOOKUP(B13,Inventory!$A$4:$K$13,9,FALSE),0)</f>
        <v>56</v>
      </c>
      <c r="H13" s="11">
        <f>IFERROR(VLOOKUP(B13,Inventory!$A$4:$K$13,10,FALSE),0)</f>
        <v>13</v>
      </c>
      <c r="I13" t="s">
        <v>182</v>
      </c>
      <c r="J13" s="18">
        <v>15</v>
      </c>
      <c r="K13" s="18">
        <f t="shared" si="1"/>
        <v>195</v>
      </c>
      <c r="L13">
        <v>2</v>
      </c>
      <c r="M13" s="19">
        <f t="shared" ca="1" si="2"/>
        <v>46150</v>
      </c>
    </row>
  </sheetData>
  <conditionalFormatting sqref="D4:D13">
    <cfRule type="expression" dxfId="3" priority="3">
      <formula>D4="Draft"</formula>
    </cfRule>
  </conditionalFormatting>
  <conditionalFormatting sqref="D4:D80">
    <cfRule type="expression" dxfId="2" priority="1">
      <formula>D4="Draft"</formula>
    </cfRule>
    <cfRule type="expression" dxfId="1" priority="2">
      <formula>D4="Not Needed"</formula>
    </cfRule>
  </conditionalFormatting>
  <conditionalFormatting sqref="E4:E13">
    <cfRule type="expression" dxfId="0" priority="4">
      <formula>E4="Critical"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3"/>
  <sheetViews>
    <sheetView workbookViewId="0"/>
  </sheetViews>
  <sheetFormatPr defaultRowHeight="14.25"/>
  <cols>
    <col min="1" max="1" width="18" customWidth="1"/>
    <col min="2" max="2" width="24" customWidth="1"/>
    <col min="3" max="3" width="18" customWidth="1"/>
    <col min="4" max="26" width="16" customWidth="1"/>
  </cols>
  <sheetData>
    <row r="1" spans="1:26" ht="27.95" customHeight="1">
      <c r="A1" s="9" t="s">
        <v>254</v>
      </c>
      <c r="B1" s="9"/>
      <c r="C1" s="9"/>
      <c r="D1" s="9"/>
      <c r="E1" s="9"/>
      <c r="F1" s="9"/>
      <c r="G1" s="9"/>
      <c r="H1" s="9"/>
      <c r="I1" s="9"/>
      <c r="J1" s="9"/>
      <c r="K1" s="9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5">
      <c r="A3" s="3" t="s">
        <v>255</v>
      </c>
      <c r="B3" s="3" t="s">
        <v>64</v>
      </c>
      <c r="C3" s="3" t="s">
        <v>165</v>
      </c>
      <c r="D3" s="3" t="s">
        <v>33</v>
      </c>
      <c r="E3" s="3" t="s">
        <v>256</v>
      </c>
      <c r="F3" s="3" t="s">
        <v>257</v>
      </c>
      <c r="G3" s="3" t="s">
        <v>258</v>
      </c>
      <c r="H3" s="3" t="s">
        <v>259</v>
      </c>
      <c r="I3" s="3" t="s">
        <v>260</v>
      </c>
      <c r="J3" s="3" t="s">
        <v>261</v>
      </c>
      <c r="K3" s="3" t="s">
        <v>74</v>
      </c>
    </row>
    <row r="4" spans="1:26">
      <c r="A4" s="4">
        <v>46143</v>
      </c>
      <c r="B4" t="s">
        <v>75</v>
      </c>
      <c r="C4" t="s">
        <v>173</v>
      </c>
      <c r="D4" t="str">
        <f ca="1">IFERROR(_xludf.XLOOKUP(C4,'Supply Catalog'!$A$4:$A$13,'Supply Catalog'!$B$4:$B$13,""),"")</f>
        <v/>
      </c>
      <c r="E4">
        <v>1</v>
      </c>
      <c r="F4" t="s">
        <v>262</v>
      </c>
      <c r="G4" t="s">
        <v>263</v>
      </c>
      <c r="H4" t="str">
        <f ca="1">IFERROR(_xludf.XLOOKUP(B4,Contracts!$A$4:$A$15,Contracts!$G$4:$G$15,""),"")</f>
        <v/>
      </c>
      <c r="I4" t="str">
        <f t="shared" ref="I4:I23" si="0">IF(A4="","",TEXT(A4,"mmm yyyy"))</f>
        <v>May 2026</v>
      </c>
      <c r="J4">
        <f t="shared" ref="J4:J23" si="1">IF(A4="","",WEEKNUM(A4))</f>
        <v>18</v>
      </c>
    </row>
    <row r="5" spans="1:26">
      <c r="A5" s="4">
        <v>46143</v>
      </c>
      <c r="B5" t="s">
        <v>105</v>
      </c>
      <c r="C5" t="s">
        <v>184</v>
      </c>
      <c r="D5" t="str">
        <f ca="1">IFERROR(_xludf.XLOOKUP(C5,'Supply Catalog'!$A$4:$A$13,'Supply Catalog'!$B$4:$B$13,""),"")</f>
        <v/>
      </c>
      <c r="E5">
        <v>2</v>
      </c>
      <c r="F5" t="s">
        <v>262</v>
      </c>
      <c r="G5" t="s">
        <v>263</v>
      </c>
      <c r="H5" t="str">
        <f ca="1">IFERROR(_xludf.XLOOKUP(B5,Contracts!$A$4:$A$15,Contracts!$G$4:$G$15,""),"")</f>
        <v/>
      </c>
      <c r="I5" t="str">
        <f t="shared" si="0"/>
        <v>May 2026</v>
      </c>
      <c r="J5">
        <f t="shared" si="1"/>
        <v>18</v>
      </c>
    </row>
    <row r="6" spans="1:26">
      <c r="A6" s="4">
        <v>46144</v>
      </c>
      <c r="B6" t="s">
        <v>111</v>
      </c>
      <c r="C6" t="s">
        <v>193</v>
      </c>
      <c r="D6" t="str">
        <f ca="1">IFERROR(_xludf.XLOOKUP(C6,'Supply Catalog'!$A$4:$A$13,'Supply Catalog'!$B$4:$B$13,""),"")</f>
        <v/>
      </c>
      <c r="E6">
        <v>1</v>
      </c>
      <c r="F6" t="s">
        <v>159</v>
      </c>
      <c r="G6" t="s">
        <v>264</v>
      </c>
      <c r="H6" t="str">
        <f ca="1">IFERROR(_xludf.XLOOKUP(B6,Contracts!$A$4:$A$15,Contracts!$G$4:$G$15,""),"")</f>
        <v/>
      </c>
      <c r="I6" t="str">
        <f t="shared" si="0"/>
        <v>May 2026</v>
      </c>
      <c r="J6">
        <f t="shared" si="1"/>
        <v>18</v>
      </c>
    </row>
    <row r="7" spans="1:26">
      <c r="A7" s="4"/>
      <c r="D7" t="str">
        <f ca="1">IFERROR(_xludf.XLOOKUP(C7,'Supply Catalog'!$A$4:$A$13,'Supply Catalog'!$B$4:$B$13,""),"")</f>
        <v/>
      </c>
      <c r="H7" t="str">
        <f ca="1">IFERROR(_xludf.XLOOKUP(B7,Contracts!$A$4:$A$15,Contracts!$G$4:$G$15,""),"")</f>
        <v/>
      </c>
      <c r="I7" t="str">
        <f t="shared" si="0"/>
        <v/>
      </c>
      <c r="J7" t="str">
        <f t="shared" si="1"/>
        <v/>
      </c>
    </row>
    <row r="8" spans="1:26">
      <c r="A8" s="4"/>
      <c r="D8" t="str">
        <f ca="1">IFERROR(_xludf.XLOOKUP(C8,'Supply Catalog'!$A$4:$A$13,'Supply Catalog'!$B$4:$B$13,""),"")</f>
        <v/>
      </c>
      <c r="H8" t="str">
        <f ca="1">IFERROR(_xludf.XLOOKUP(B8,Contracts!$A$4:$A$15,Contracts!$G$4:$G$15,""),"")</f>
        <v/>
      </c>
      <c r="I8" t="str">
        <f t="shared" si="0"/>
        <v/>
      </c>
      <c r="J8" t="str">
        <f t="shared" si="1"/>
        <v/>
      </c>
    </row>
    <row r="9" spans="1:26">
      <c r="A9" s="4"/>
      <c r="D9" t="str">
        <f ca="1">IFERROR(_xludf.XLOOKUP(C9,'Supply Catalog'!$A$4:$A$13,'Supply Catalog'!$B$4:$B$13,""),"")</f>
        <v/>
      </c>
      <c r="H9" t="str">
        <f ca="1">IFERROR(_xludf.XLOOKUP(B9,Contracts!$A$4:$A$15,Contracts!$G$4:$G$15,""),"")</f>
        <v/>
      </c>
      <c r="I9" t="str">
        <f t="shared" si="0"/>
        <v/>
      </c>
      <c r="J9" t="str">
        <f t="shared" si="1"/>
        <v/>
      </c>
    </row>
    <row r="10" spans="1:26">
      <c r="A10" s="4"/>
      <c r="D10" t="str">
        <f ca="1">IFERROR(_xludf.XLOOKUP(C10,'Supply Catalog'!$A$4:$A$13,'Supply Catalog'!$B$4:$B$13,""),"")</f>
        <v/>
      </c>
      <c r="H10" t="str">
        <f ca="1">IFERROR(_xludf.XLOOKUP(B10,Contracts!$A$4:$A$15,Contracts!$G$4:$G$15,""),"")</f>
        <v/>
      </c>
      <c r="I10" t="str">
        <f t="shared" si="0"/>
        <v/>
      </c>
      <c r="J10" t="str">
        <f t="shared" si="1"/>
        <v/>
      </c>
    </row>
    <row r="11" spans="1:26">
      <c r="A11" s="4"/>
      <c r="D11" t="str">
        <f ca="1">IFERROR(_xludf.XLOOKUP(C11,'Supply Catalog'!$A$4:$A$13,'Supply Catalog'!$B$4:$B$13,""),"")</f>
        <v/>
      </c>
      <c r="H11" t="str">
        <f ca="1">IFERROR(_xludf.XLOOKUP(B11,Contracts!$A$4:$A$15,Contracts!$G$4:$G$15,""),"")</f>
        <v/>
      </c>
      <c r="I11" t="str">
        <f t="shared" si="0"/>
        <v/>
      </c>
      <c r="J11" t="str">
        <f t="shared" si="1"/>
        <v/>
      </c>
    </row>
    <row r="12" spans="1:26">
      <c r="A12" s="4"/>
      <c r="D12" t="str">
        <f ca="1">IFERROR(_xludf.XLOOKUP(C12,'Supply Catalog'!$A$4:$A$13,'Supply Catalog'!$B$4:$B$13,""),"")</f>
        <v/>
      </c>
      <c r="H12" t="str">
        <f ca="1">IFERROR(_xludf.XLOOKUP(B12,Contracts!$A$4:$A$15,Contracts!$G$4:$G$15,""),"")</f>
        <v/>
      </c>
      <c r="I12" t="str">
        <f t="shared" si="0"/>
        <v/>
      </c>
      <c r="J12" t="str">
        <f t="shared" si="1"/>
        <v/>
      </c>
    </row>
    <row r="13" spans="1:26">
      <c r="A13" s="4"/>
      <c r="D13" t="str">
        <f ca="1">IFERROR(_xludf.XLOOKUP(C13,'Supply Catalog'!$A$4:$A$13,'Supply Catalog'!$B$4:$B$13,""),"")</f>
        <v/>
      </c>
      <c r="H13" t="str">
        <f ca="1">IFERROR(_xludf.XLOOKUP(B13,Contracts!$A$4:$A$15,Contracts!$G$4:$G$15,""),"")</f>
        <v/>
      </c>
      <c r="I13" t="str">
        <f t="shared" si="0"/>
        <v/>
      </c>
      <c r="J13" t="str">
        <f t="shared" si="1"/>
        <v/>
      </c>
    </row>
    <row r="14" spans="1:26">
      <c r="A14" s="4"/>
      <c r="D14" t="str">
        <f ca="1">IFERROR(_xludf.XLOOKUP(C14,'Supply Catalog'!$A$4:$A$13,'Supply Catalog'!$B$4:$B$13,""),"")</f>
        <v/>
      </c>
      <c r="H14" t="str">
        <f ca="1">IFERROR(_xludf.XLOOKUP(B14,Contracts!$A$4:$A$15,Contracts!$G$4:$G$15,""),"")</f>
        <v/>
      </c>
      <c r="I14" t="str">
        <f t="shared" si="0"/>
        <v/>
      </c>
      <c r="J14" t="str">
        <f t="shared" si="1"/>
        <v/>
      </c>
    </row>
    <row r="15" spans="1:26">
      <c r="A15" s="4"/>
      <c r="D15" t="str">
        <f ca="1">IFERROR(_xludf.XLOOKUP(C15,'Supply Catalog'!$A$4:$A$13,'Supply Catalog'!$B$4:$B$13,""),"")</f>
        <v/>
      </c>
      <c r="H15" t="str">
        <f ca="1">IFERROR(_xludf.XLOOKUP(B15,Contracts!$A$4:$A$15,Contracts!$G$4:$G$15,""),"")</f>
        <v/>
      </c>
      <c r="I15" t="str">
        <f t="shared" si="0"/>
        <v/>
      </c>
      <c r="J15" t="str">
        <f t="shared" si="1"/>
        <v/>
      </c>
    </row>
    <row r="16" spans="1:26">
      <c r="A16" s="4"/>
      <c r="D16" t="str">
        <f ca="1">IFERROR(_xludf.XLOOKUP(C16,'Supply Catalog'!$A$4:$A$13,'Supply Catalog'!$B$4:$B$13,""),"")</f>
        <v/>
      </c>
      <c r="H16" t="str">
        <f ca="1">IFERROR(_xludf.XLOOKUP(B16,Contracts!$A$4:$A$15,Contracts!$G$4:$G$15,""),"")</f>
        <v/>
      </c>
      <c r="I16" t="str">
        <f t="shared" si="0"/>
        <v/>
      </c>
      <c r="J16" t="str">
        <f t="shared" si="1"/>
        <v/>
      </c>
    </row>
    <row r="17" spans="1:10">
      <c r="A17" s="4"/>
      <c r="D17" t="str">
        <f ca="1">IFERROR(_xludf.XLOOKUP(C17,'Supply Catalog'!$A$4:$A$13,'Supply Catalog'!$B$4:$B$13,""),"")</f>
        <v/>
      </c>
      <c r="H17" t="str">
        <f ca="1">IFERROR(_xludf.XLOOKUP(B17,Contracts!$A$4:$A$15,Contracts!$G$4:$G$15,""),"")</f>
        <v/>
      </c>
      <c r="I17" t="str">
        <f t="shared" si="0"/>
        <v/>
      </c>
      <c r="J17" t="str">
        <f t="shared" si="1"/>
        <v/>
      </c>
    </row>
    <row r="18" spans="1:10">
      <c r="A18" s="4"/>
      <c r="D18" t="str">
        <f ca="1">IFERROR(_xludf.XLOOKUP(C18,'Supply Catalog'!$A$4:$A$13,'Supply Catalog'!$B$4:$B$13,""),"")</f>
        <v/>
      </c>
      <c r="H18" t="str">
        <f ca="1">IFERROR(_xludf.XLOOKUP(B18,Contracts!$A$4:$A$15,Contracts!$G$4:$G$15,""),"")</f>
        <v/>
      </c>
      <c r="I18" t="str">
        <f t="shared" si="0"/>
        <v/>
      </c>
      <c r="J18" t="str">
        <f t="shared" si="1"/>
        <v/>
      </c>
    </row>
    <row r="19" spans="1:10">
      <c r="A19" s="4"/>
      <c r="D19" t="str">
        <f ca="1">IFERROR(_xludf.XLOOKUP(C19,'Supply Catalog'!$A$4:$A$13,'Supply Catalog'!$B$4:$B$13,""),"")</f>
        <v/>
      </c>
      <c r="H19" t="str">
        <f ca="1">IFERROR(_xludf.XLOOKUP(B19,Contracts!$A$4:$A$15,Contracts!$G$4:$G$15,""),"")</f>
        <v/>
      </c>
      <c r="I19" t="str">
        <f t="shared" si="0"/>
        <v/>
      </c>
      <c r="J19" t="str">
        <f t="shared" si="1"/>
        <v/>
      </c>
    </row>
    <row r="20" spans="1:10">
      <c r="A20" s="4"/>
      <c r="D20" t="str">
        <f ca="1">IFERROR(_xludf.XLOOKUP(C20,'Supply Catalog'!$A$4:$A$13,'Supply Catalog'!$B$4:$B$13,""),"")</f>
        <v/>
      </c>
      <c r="H20" t="str">
        <f ca="1">IFERROR(_xludf.XLOOKUP(B20,Contracts!$A$4:$A$15,Contracts!$G$4:$G$15,""),"")</f>
        <v/>
      </c>
      <c r="I20" t="str">
        <f t="shared" si="0"/>
        <v/>
      </c>
      <c r="J20" t="str">
        <f t="shared" si="1"/>
        <v/>
      </c>
    </row>
    <row r="21" spans="1:10">
      <c r="A21" s="4"/>
      <c r="D21" t="str">
        <f ca="1">IFERROR(_xludf.XLOOKUP(C21,'Supply Catalog'!$A$4:$A$13,'Supply Catalog'!$B$4:$B$13,""),"")</f>
        <v/>
      </c>
      <c r="H21" t="str">
        <f ca="1">IFERROR(_xludf.XLOOKUP(B21,Contracts!$A$4:$A$15,Contracts!$G$4:$G$15,""),"")</f>
        <v/>
      </c>
      <c r="I21" t="str">
        <f t="shared" si="0"/>
        <v/>
      </c>
      <c r="J21" t="str">
        <f t="shared" si="1"/>
        <v/>
      </c>
    </row>
    <row r="22" spans="1:10">
      <c r="A22" s="4"/>
      <c r="D22" t="str">
        <f ca="1">IFERROR(_xludf.XLOOKUP(C22,'Supply Catalog'!$A$4:$A$13,'Supply Catalog'!$B$4:$B$13,""),"")</f>
        <v/>
      </c>
      <c r="H22" t="str">
        <f ca="1">IFERROR(_xludf.XLOOKUP(B22,Contracts!$A$4:$A$15,Contracts!$G$4:$G$15,""),"")</f>
        <v/>
      </c>
      <c r="I22" t="str">
        <f t="shared" si="0"/>
        <v/>
      </c>
      <c r="J22" t="str">
        <f t="shared" si="1"/>
        <v/>
      </c>
    </row>
    <row r="23" spans="1:10">
      <c r="A23" s="4"/>
      <c r="D23" t="str">
        <f ca="1">IFERROR(_xludf.XLOOKUP(C23,'Supply Catalog'!$A$4:$A$13,'Supply Catalog'!$B$4:$B$13,""),"")</f>
        <v/>
      </c>
      <c r="H23" t="str">
        <f ca="1">IFERROR(_xludf.XLOOKUP(B23,Contracts!$A$4:$A$15,Contracts!$G$4:$G$15,""),"")</f>
        <v/>
      </c>
      <c r="I23" t="str">
        <f t="shared" si="0"/>
        <v/>
      </c>
      <c r="J23" t="str">
        <f t="shared" si="1"/>
        <v/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"/>
  <sheetViews>
    <sheetView workbookViewId="0"/>
  </sheetViews>
  <sheetFormatPr defaultRowHeight="14.25"/>
  <cols>
    <col min="1" max="1" width="18" customWidth="1"/>
    <col min="2" max="2" width="24" customWidth="1"/>
    <col min="3" max="3" width="18" customWidth="1"/>
    <col min="4" max="26" width="16" customWidth="1"/>
  </cols>
  <sheetData>
    <row r="1" spans="1:26" ht="27.95" customHeight="1">
      <c r="A1" s="9" t="s">
        <v>265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5">
      <c r="A3" s="3" t="s">
        <v>66</v>
      </c>
      <c r="B3" s="3" t="s">
        <v>266</v>
      </c>
      <c r="D3" s="3" t="s">
        <v>267</v>
      </c>
      <c r="F3" s="3" t="s">
        <v>70</v>
      </c>
    </row>
    <row r="4" spans="1:26">
      <c r="A4" t="s">
        <v>77</v>
      </c>
      <c r="B4">
        <v>1</v>
      </c>
      <c r="D4" t="s">
        <v>268</v>
      </c>
      <c r="F4" t="s">
        <v>269</v>
      </c>
    </row>
    <row r="5" spans="1:26">
      <c r="A5" t="s">
        <v>83</v>
      </c>
      <c r="B5">
        <v>2</v>
      </c>
      <c r="D5" t="s">
        <v>270</v>
      </c>
      <c r="F5" t="s">
        <v>87</v>
      </c>
    </row>
    <row r="6" spans="1:26">
      <c r="A6" t="s">
        <v>271</v>
      </c>
      <c r="B6">
        <v>2.5</v>
      </c>
      <c r="D6" t="s">
        <v>272</v>
      </c>
      <c r="F6" t="s">
        <v>78</v>
      </c>
    </row>
    <row r="7" spans="1:26">
      <c r="A7" t="s">
        <v>95</v>
      </c>
      <c r="B7">
        <v>1.7</v>
      </c>
      <c r="D7" t="s">
        <v>273</v>
      </c>
      <c r="F7" t="s">
        <v>107</v>
      </c>
    </row>
    <row r="8" spans="1:26">
      <c r="A8" t="s">
        <v>274</v>
      </c>
      <c r="B8">
        <v>1.2</v>
      </c>
      <c r="D8" t="s">
        <v>275</v>
      </c>
    </row>
    <row r="9" spans="1:26">
      <c r="A9" t="s">
        <v>276</v>
      </c>
      <c r="B9">
        <v>2.2000000000000002</v>
      </c>
      <c r="D9" t="s">
        <v>277</v>
      </c>
    </row>
    <row r="10" spans="1:26">
      <c r="A10" t="s">
        <v>91</v>
      </c>
      <c r="B10">
        <v>0.7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START HERE</vt:lpstr>
      <vt:lpstr>Manager Dashboard</vt:lpstr>
      <vt:lpstr>Contracts</vt:lpstr>
      <vt:lpstr>Employees</vt:lpstr>
      <vt:lpstr>Supply Catalog</vt:lpstr>
      <vt:lpstr>Inventory</vt:lpstr>
      <vt:lpstr>Vendors</vt:lpstr>
      <vt:lpstr>Supply Forecast</vt:lpstr>
      <vt:lpstr>Purchase Orders</vt:lpstr>
      <vt:lpstr>Usage Log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</dc:creator>
  <cp:lastModifiedBy>Davis, Cooper</cp:lastModifiedBy>
  <dcterms:created xsi:type="dcterms:W3CDTF">2026-05-06T14:25:17Z</dcterms:created>
  <dcterms:modified xsi:type="dcterms:W3CDTF">2026-05-06T14:25:17Z</dcterms:modified>
</cp:coreProperties>
</file>