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add7bc4ee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ea456bb96a94732"/>
    <x:sheet xmlns:r="http://schemas.openxmlformats.org/officeDocument/2006/relationships" name="Manager Dashboard" sheetId="2" r:id="Re5a65ffbc545483e"/>
    <x:sheet xmlns:r="http://schemas.openxmlformats.org/officeDocument/2006/relationships" name="Contracts" sheetId="3" r:id="R21a887a702bd4466"/>
    <x:sheet xmlns:r="http://schemas.openxmlformats.org/officeDocument/2006/relationships" name="Employees" sheetId="4" r:id="R89be1525142840a6"/>
    <x:sheet xmlns:r="http://schemas.openxmlformats.org/officeDocument/2006/relationships" name="Supply Catalog" sheetId="5" r:id="Rad27a07b12b54c2d"/>
    <x:sheet xmlns:r="http://schemas.openxmlformats.org/officeDocument/2006/relationships" name="Inventory" sheetId="6" r:id="R79ee37a099374d45"/>
    <x:sheet xmlns:r="http://schemas.openxmlformats.org/officeDocument/2006/relationships" name="Vendors" sheetId="7" r:id="Rc8b8c0a68585437e"/>
    <x:sheet xmlns:r="http://schemas.openxmlformats.org/officeDocument/2006/relationships" name="Supply Forecast" sheetId="8" r:id="R7790f02b23fb49d4"/>
    <x:sheet xmlns:r="http://schemas.openxmlformats.org/officeDocument/2006/relationships" name="Purchase Orders" sheetId="9" r:id="Rfac19b9ed3944461"/>
    <x:sheet xmlns:r="http://schemas.openxmlformats.org/officeDocument/2006/relationships" name="Usage Log" sheetId="10" r:id="Rb6c8f79e5ace4a34"/>
    <x:sheet xmlns:r="http://schemas.openxmlformats.org/officeDocument/2006/relationships" name="Settings" sheetId="11" r:id="R927ffd0f507943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/d/yyyy"/>
    <x:numFmt numFmtId="201" formatCode="$0.00"/>
    <x:numFmt numFmtId="202" formatCode="0.0000"/>
    <x:numFmt numFmtId="203" formatCode="0.0"/>
    <x:numFmt numFmtId="204" formatCode="0.00"/>
    <x:numFmt numFmtId="205" formatCode="#,##0"/>
    <x:numFmt numFmtId="206" formatCode="0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1F4E78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</x:cellXfs>
  <x:cellStyles count="1">
    <x:cellStyle name="Normal" xfId="0"/>
  </x:cellStyles>
  <x:dxfs count="8">
    <x:dxf>
      <x:font>
        <x:b/>
        <x:color rgb="9C0006"/>
      </x:font>
      <x:fill>
        <x:patternFill patternType="solid">
          <x:bgColor rgb="F8CBAD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b/>
        <x:color rgb="375623"/>
      </x:font>
      <x:fill>
        <x:patternFill patternType="solid">
          <x:bgColor rgb="E2F0D9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b/>
        <x:color rgb="375623"/>
      </x:font>
      <x:fill>
        <x:patternFill patternType="solid">
          <x:bgColor rgb="E2F0D9"/>
        </x:patternFill>
      </x:fill>
    </x:dxf>
    <x:dxf>
      <x:font>
        <x:b/>
        <x:color rgb="9C0006"/>
      </x:font>
      <x:fill>
        <x:patternFill patternType="solid">
          <x:bgColor rgb="F8CBAD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0506aecb94bcc" /><Relationship Type="http://schemas.openxmlformats.org/officeDocument/2006/relationships/theme" Target="/xl/theme/theme1.xml" Id="Reb5c9e77d0584849" /><Relationship Type="http://schemas.openxmlformats.org/officeDocument/2006/relationships/sharedStrings" Target="/xl/sharedStrings.xml" Id="R090f5d94aa5545f5" /><Relationship Type="http://schemas.openxmlformats.org/officeDocument/2006/relationships/worksheet" Target="/xl/worksheets/sheet1.xml" Id="R3ea456bb96a94732" /><Relationship Type="http://schemas.openxmlformats.org/officeDocument/2006/relationships/worksheet" Target="/xl/worksheets/sheet2.xml" Id="Re5a65ffbc545483e" /><Relationship Type="http://schemas.openxmlformats.org/officeDocument/2006/relationships/worksheet" Target="/xl/worksheets/sheet3.xml" Id="R21a887a702bd4466" /><Relationship Type="http://schemas.openxmlformats.org/officeDocument/2006/relationships/worksheet" Target="/xl/worksheets/sheet4.xml" Id="R89be1525142840a6" /><Relationship Type="http://schemas.openxmlformats.org/officeDocument/2006/relationships/worksheet" Target="/xl/worksheets/sheet5.xml" Id="Rad27a07b12b54c2d" /><Relationship Type="http://schemas.openxmlformats.org/officeDocument/2006/relationships/worksheet" Target="/xl/worksheets/sheet6.xml" Id="R79ee37a099374d45" /><Relationship Type="http://schemas.openxmlformats.org/officeDocument/2006/relationships/worksheet" Target="/xl/worksheets/sheet7.xml" Id="Rc8b8c0a68585437e" /><Relationship Type="http://schemas.openxmlformats.org/officeDocument/2006/relationships/worksheet" Target="/xl/worksheets/sheet8.xml" Id="R7790f02b23fb49d4" /><Relationship Type="http://schemas.openxmlformats.org/officeDocument/2006/relationships/worksheet" Target="/xl/worksheets/sheet9.xml" Id="Rfac19b9ed3944461" /><Relationship Type="http://schemas.openxmlformats.org/officeDocument/2006/relationships/worksheet" Target="/xl/worksheets/sheet10.xml" Id="Rb6c8f79e5ace4a34" /><Relationship Type="http://schemas.openxmlformats.org/officeDocument/2006/relationships/worksheet" Target="/xl/worksheets/sheet11.xml" Id="R927ffd0f507943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02795be42649d8" /><Relationship Type="http://schemas.openxmlformats.org/officeDocument/2006/relationships/chart" Target="/xl/drawings/charts/chart2.xml" Id="R11c558e7eba347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Open PO Cost by Vendor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Open PO Cost</c:v>
          </c:tx>
          <c:cat>
            <c:strRef>
              <c:f>'Manager Dashboard'!$A$15:$A$17</c:f>
              <c:strCache>
                <c:ptCount val="0"/>
              </c:strCache>
            </c:strRef>
          </c:cat>
          <c:val>
            <c:numRef>
              <c:f>'Manager Dashboard'!$B$15:$B$17</c:f>
              <c:numCache>
                <c:formatCode>$0.00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Inventory Action Items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Current</c:v>
          </c:tx>
          <c:cat>
            <c:strRef>
              <c:f>'Manager Dashboard'!$E$5:$E$14</c:f>
              <c:strCache>
                <c:ptCount val="0"/>
              </c:strCache>
            </c:strRef>
          </c:cat>
          <c:val>
            <c:numRef>
              <c:f>'Manager Dashboard'!$F$5:$F$14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Reorder Point</c:v>
          </c:tx>
          <c:cat>
            <c:strRef>
              <c:f>'Manager Dashboard'!$E$5:$E$14</c:f>
              <c:strCache>
                <c:ptCount val="0"/>
              </c:strCache>
            </c:strRef>
          </c:cat>
          <c:val>
            <c:numRef>
              <c:f>'Manager Dashboard'!$G$5:$G$14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Status</c:v>
          </c:tx>
          <c:cat>
            <c:strRef>
              <c:f>'Manager Dashboard'!$E$5:$E$14</c:f>
              <c:strCache>
                <c:ptCount val="0"/>
              </c:strCache>
            </c:strRef>
          </c:cat>
          <c:val>
            <c:numRef>
              <c:f>'Manager Dashboard'!$H$5:$H$14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Suggested Qty</c:v>
          </c:tx>
          <c:cat>
            <c:strRef>
              <c:f>'Manager Dashboard'!$E$5:$E$14</c:f>
              <c:strCache>
                <c:ptCount val="0"/>
              </c:strCache>
            </c:strRef>
          </c:cat>
          <c:val>
            <c:numRef>
              <c:f>'Manager Dashboard'!$I$5:$I$14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02795be42649d8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c558e7eba3479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artSteps" displayName="StartSteps" ref="A6:C12" headerRowCount="1">
  <x:tableColumns count="3">
    <x:tableColumn id="1" name="Step"/>
    <x:tableColumn id="2" name="What to do"/>
    <x:tableColumn id="3" name="Where"/>
  </x:tableColumns>
  <x:tableStyleInfo name="TableStyleMedium2" showRowStripes="1"/>
</x:table>
</file>

<file path=xl/tables/table2.xml><?xml version="1.0" encoding="utf-8"?>
<x:table xmlns:x="http://schemas.openxmlformats.org/spreadsheetml/2006/main" id="13" name="DashboardKPIs" displayName="DashboardKPIs" ref="A3:C10" headerRowCount="1">
  <x:tableColumns count="3">
    <x:tableColumn id="1" name="KPI"/>
    <x:tableColumn id="2" name="Value"/>
    <x:tableColumn id="3" name="Manager Read"/>
  </x:tableColumns>
  <x:tableStyleInfo name="TableStyleMedium2" showRowStripes="1"/>
</x:table>
</file>

<file path=xl/tables/table3.xml><?xml version="1.0" encoding="utf-8"?>
<x:table xmlns:x="http://schemas.openxmlformats.org/spreadsheetml/2006/main" id="5" name="ContractsTbl" displayName="ContractsTbl" ref="A3:K15" headerRowCount="1">
  <x:tableColumns count="11">
    <x:tableColumn id="1" name="Client"/>
    <x:tableColumn id="2" name="Site Address"/>
    <x:tableColumn id="3" name="Service Type"/>
    <x:tableColumn id="4" name="Sq Ft"/>
    <x:tableColumn id="5" name="Days/Week"/>
    <x:tableColumn id="6" name="Headcount"/>
    <x:tableColumn id="7" name="Priority"/>
    <x:tableColumn id="8" name="Start Date"/>
    <x:tableColumn id="9" name="Active"/>
    <x:tableColumn id="10" name="Weekly Visits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6" name="EmployeesTbl" displayName="EmployeesTbl" ref="A3:L15" headerRowCount="1">
  <x:tableColumns count="12">
    <x:tableColumn id="1" name="ID"/>
    <x:tableColumn id="2" name="Name"/>
    <x:tableColumn id="3" name="Role"/>
    <x:tableColumn id="4" name="Pay Rate"/>
    <x:tableColumn id="5" name="Home Address"/>
    <x:tableColumn id="6" name="Mon"/>
    <x:tableColumn id="7" name="Tue"/>
    <x:tableColumn id="8" name="Wed"/>
    <x:tableColumn id="9" name="Thu"/>
    <x:tableColumn id="10" name="Fri"/>
    <x:tableColumn id="11" name="Sat"/>
    <x:tableColumn id="12" name="Sun"/>
  </x:tableColumns>
  <x:tableStyleInfo name="TableStyleMedium2" showRowStripes="1"/>
</x:table>
</file>

<file path=xl/tables/table5.xml><?xml version="1.0" encoding="utf-8"?>
<x:table xmlns:x="http://schemas.openxmlformats.org/spreadsheetml/2006/main" id="7" name="SupplyCatalogTbl" displayName="SupplyCatalogTbl" ref="A3:J13" headerRowCount="1">
  <x:tableColumns count="10">
    <x:tableColumn id="1" name="Item ID"/>
    <x:tableColumn id="2" name="Item"/>
    <x:tableColumn id="3" name="Category"/>
    <x:tableColumn id="4" name="Unit"/>
    <x:tableColumn id="5" name="Base Usage/Visit"/>
    <x:tableColumn id="6" name="SqFt Usage Factor"/>
    <x:tableColumn id="7" name="Headcount Factor"/>
    <x:tableColumn id="8" name="Safety Stock %"/>
    <x:tableColumn id="9" name="Preferred Vendor"/>
    <x:tableColumn id="10" name="Notes"/>
  </x:tableColumns>
  <x:tableStyleInfo name="TableStyleMedium2" showRowStripes="1"/>
</x:table>
</file>

<file path=xl/tables/table6.xml><?xml version="1.0" encoding="utf-8"?>
<x:table xmlns:x="http://schemas.openxmlformats.org/spreadsheetml/2006/main" id="8" name="InventoryTbl" displayName="InventoryTbl" ref="A3:M13" headerRowCount="1">
  <x:tableColumns count="13">
    <x:tableColumn id="1" name="Item ID"/>
    <x:tableColumn id="2" name="Item"/>
    <x:tableColumn id="3" name="Category"/>
    <x:tableColumn id="4" name="Unit"/>
    <x:tableColumn id="5" name="Current Stock"/>
    <x:tableColumn id="6" name="Min Stock"/>
    <x:tableColumn id="7" name="Max Stock"/>
    <x:tableColumn id="8" name="Weekly Forecast"/>
    <x:tableColumn id="9" name="Reorder Point"/>
    <x:tableColumn id="10" name="Suggested Order Qty"/>
    <x:tableColumn id="11" name="Status"/>
    <x:tableColumn id="12" name="Last Count Date"/>
    <x:tableColumn id="13" name="Manager Notes"/>
  </x:tableColumns>
  <x:tableStyleInfo name="TableStyleMedium2" showRowStripes="1"/>
</x:table>
</file>

<file path=xl/tables/table7.xml><?xml version="1.0" encoding="utf-8"?>
<x:table xmlns:x="http://schemas.openxmlformats.org/spreadsheetml/2006/main" id="9" name="VendorsTbl" displayName="VendorsTbl" ref="A3:J29" headerRowCount="1">
  <x:tableColumns count="10">
    <x:tableColumn id="1" name="Vendor"/>
    <x:tableColumn id="2" name="Item ID"/>
    <x:tableColumn id="3" name="Item"/>
    <x:tableColumn id="4" name="Unit Cost"/>
    <x:tableColumn id="5" name="Lead Time Days"/>
    <x:tableColumn id="6" name="Reliability 1-10"/>
    <x:tableColumn id="7" name="Delivery Score"/>
    <x:tableColumn id="8" name="Cost Score"/>
    <x:tableColumn id="9" name="Weighted Score"/>
    <x:tableColumn id="10" name="Manager Choice"/>
  </x:tableColumns>
  <x:tableStyleInfo name="TableStyleMedium2" showRowStripes="1"/>
</x:table>
</file>

<file path=xl/tables/table8.xml><?xml version="1.0" encoding="utf-8"?>
<x:table xmlns:x="http://schemas.openxmlformats.org/spreadsheetml/2006/main" id="10" name="SupplyForecastTbl" displayName="SupplyForecastTbl" ref="A3:L123" headerRowCount="1">
  <x:tableColumns count="12">
    <x:tableColumn id="1" name="Client"/>
    <x:tableColumn id="2" name="Item ID"/>
    <x:tableColumn id="3" name="Item"/>
    <x:tableColumn id="4" name="Service Type"/>
    <x:tableColumn id="5" name="Weekly Visits"/>
    <x:tableColumn id="6" name="Headcount"/>
    <x:tableColumn id="7" name="Sq Ft"/>
    <x:tableColumn id="8" name="Service Factor"/>
    <x:tableColumn id="9" name="Base Usage"/>
    <x:tableColumn id="10" name="Weekly Qty"/>
    <x:tableColumn id="11" name="Monthly Qty"/>
    <x:tableColumn id="12" name="Priority"/>
  </x:tableColumns>
  <x:tableStyleInfo name="TableStyleMedium2" showRowStripes="1"/>
</x:table>
</file>

<file path=xl/tables/table9.xml><?xml version="1.0" encoding="utf-8"?>
<x:table xmlns:x="http://schemas.openxmlformats.org/spreadsheetml/2006/main" id="11" name="PurchaseOrdersTbl" displayName="PurchaseOrdersTbl" ref="A3:N13" headerRowCount="1">
  <x:tableColumns count="14">
    <x:tableColumn id="1" name="PO #"/>
    <x:tableColumn id="2" name="Item ID"/>
    <x:tableColumn id="3" name="Item"/>
    <x:tableColumn id="4" name="Status"/>
    <x:tableColumn id="5" name="Priority"/>
    <x:tableColumn id="6" name="Current Stock"/>
    <x:tableColumn id="7" name="Reorder Point"/>
    <x:tableColumn id="8" name="Suggested Qty"/>
    <x:tableColumn id="9" name="Recommended Vendor"/>
    <x:tableColumn id="10" name="Unit Cost"/>
    <x:tableColumn id="11" name="Estimated Cost"/>
    <x:tableColumn id="12" name="Lead Time Days"/>
    <x:tableColumn id="13" name="ETA"/>
    <x:tableColumn id="14" name="Manager Notes"/>
  </x:tableColumns>
  <x:tableStyleInfo name="TableStyleMedium2" showRowStripes="1"/>
</x:table>
</file>

<file path=xl/tables/table10.xml><?xml version="1.0" encoding="utf-8"?>
<x:table xmlns:x="http://schemas.openxmlformats.org/spreadsheetml/2006/main" id="12" name="UsageLogTbl" displayName="UsageLogTbl" ref="A3:K23" headerRowCount="1">
  <x:tableColumns count="11">
    <x:tableColumn id="1" name="Date"/>
    <x:tableColumn id="2" name="Client"/>
    <x:tableColumn id="3" name="Item ID"/>
    <x:tableColumn id="4" name="Item"/>
    <x:tableColumn id="5" name="Qty Used"/>
    <x:tableColumn id="6" name="Entered By"/>
    <x:tableColumn id="7" name="Reason"/>
    <x:tableColumn id="8" name="Contract Priority"/>
    <x:tableColumn id="9" name="Month"/>
    <x:tableColumn id="10" name="Week"/>
    <x:tableColumn id="11" name="Notes"/>
  </x:tableColumns>
  <x:tableStyleInfo name="TableStyleMedium2" showRowStripes="1"/>
</x:table>
</file>

<file path=xl/tables/table11.xml><?xml version="1.0" encoding="utf-8"?>
<x:table xmlns:x="http://schemas.openxmlformats.org/spreadsheetml/2006/main" id="2" name="ServiceFactors" displayName="ServiceFactors" ref="A3:B10" headerRowCount="1">
  <x:tableColumns count="2">
    <x:tableColumn id="1" name="Service Type"/>
    <x:tableColumn id="2" name="Usage Factor"/>
  </x:tableColumns>
  <x:tableStyleInfo name="TableStyleMedium2" showRowStripes="1"/>
</x:table>
</file>

<file path=xl/tables/table12.xml><?xml version="1.0" encoding="utf-8"?>
<x:table xmlns:x="http://schemas.openxmlformats.org/spreadsheetml/2006/main" id="3" name="POStatusList" displayName="POStatusList" ref="D3:D8" headerRowCount="1">
  <x:tableColumns count="1">
    <x:tableColumn id="1" name="PO Status"/>
  </x:tableColumns>
  <x:tableStyleInfo name="TableStyleMedium2" showRowStripes="1"/>
</x:table>
</file>

<file path=xl/tables/table13.xml><?xml version="1.0" encoding="utf-8"?>
<x:table xmlns:x="http://schemas.openxmlformats.org/spreadsheetml/2006/main" id="4" name="PriorityList" displayName="PriorityList" ref="F3:F7" headerRowCount="1">
  <x:tableColumns count="1">
    <x:tableColumn id="1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4b271961b045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e05bc67954f30" /><Relationship Type="http://schemas.openxmlformats.org/officeDocument/2006/relationships/table" Target="/xl/tables/table2.xml" Id="Rd050d50f571b4f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15e73704f34a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b80b2ee747c40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4486dc5198541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de5c8eb193344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95e90be84ba40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5c77e30fe7248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616fcd98b14467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d63b5ab420d4c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5fd76c350694ddf" /><Relationship Type="http://schemas.openxmlformats.org/officeDocument/2006/relationships/table" Target="/xl/tables/table12.xml" Id="Rb289ccc59e8149d2" /><Relationship Type="http://schemas.openxmlformats.org/officeDocument/2006/relationships/table" Target="/xl/tables/table13.xml" Id="Rf67c5b7bfd25412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46" t="str">
        <x:v>Jan-Pro Manager Procurement + Supply Planning System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3">
      <x:c r="A3" s="14" t="str">
        <x:v>Purpose</x:v>
      </x:c>
      <x:c r="B3" s="14"/>
      <x:c r="C3" s="14"/>
      <x:c r="D3" s="14"/>
      <x:c r="E3" s="14"/>
      <x:c r="F3" s="14"/>
      <x:c r="G3" s="14"/>
      <x:c r="H3" s="14"/>
    </x:row>
    <x:row r="4" ht="42" customHeight="1">
      <x:c r="A4" s="16" t="str">
        <x:v>Use this workbook like a manager tool: forecast supplies from contract workload, track inventory, rank vendors, and generate purchase order recommendations before accounts run short.</x:v>
      </x:c>
    </x:row>
    <x:row r="6">
      <x:c r="A6" s="24" t="str">
        <x:v>Step</x:v>
      </x:c>
      <x:c r="B6" s="24" t="str">
        <x:v>What to do</x:v>
      </x:c>
      <x:c r="C6" s="24" t="str">
        <x:v>Where</x:v>
      </x:c>
      <x:c r="E6" s="24" t="str">
        <x:v>Manager Notes</x:v>
      </x:c>
      <x:c r="F6" s="24"/>
      <x:c r="G6" s="24"/>
      <x:c r="H6" s="24"/>
    </x:row>
    <x:row r="7">
      <x:c r="A7" t="str">
        <x:v>1</x:v>
      </x:c>
      <x:c r="B7" t="str">
        <x:v>Update contract schedule, headcount, service type, and square footage.</x:v>
      </x:c>
      <x:c r="C7" t="str">
        <x:v>Contracts</x:v>
      </x:c>
      <x:c r="E7" s="16" t="str">
        <x:v>Items marked ORDER are below safe stock based on contract workload.</x:v>
      </x:c>
    </x:row>
    <x:row r="8">
      <x:c r="A8" t="str">
        <x:v>2</x:v>
      </x:c>
      <x:c r="B8" t="str">
        <x:v>Update worker list if using manager assignments or accountability.</x:v>
      </x:c>
      <x:c r="C8" t="str">
        <x:v>Employees</x:v>
      </x:c>
      <x:c r="E8" t="str">
        <x:v>Preferred vendors are selected by score, not only price.</x:v>
      </x:c>
    </x:row>
    <x:row r="9">
      <x:c r="A9" t="str">
        <x:v>3</x:v>
      </x:c>
      <x:c r="B9" t="str">
        <x:v>Update current inventory counts at least weekly.</x:v>
      </x:c>
      <x:c r="C9" t="str">
        <x:v>Inventory</x:v>
      </x:c>
      <x:c r="E9" t="str">
        <x:v>This is Excel, but the workflow models SAP Ariba style purchasing: demand → supplier → PO → delivery → inventory.</x:v>
      </x:c>
    </x:row>
    <x:row r="10">
      <x:c r="A10" t="str">
        <x:v>4</x:v>
      </x:c>
      <x:c r="B10" t="str">
        <x:v>Review calculated supply demand by contract.</x:v>
      </x:c>
      <x:c r="C10" t="str">
        <x:v>Supply Forecast</x:v>
      </x:c>
    </x:row>
    <x:row r="11">
      <x:c r="A11" t="str">
        <x:v>5</x:v>
      </x:c>
      <x:c r="B11" t="str">
        <x:v>Review recommended orders and PO status.</x:v>
      </x:c>
      <x:c r="C11" t="str">
        <x:v>Purchase Orders</x:v>
      </x:c>
    </x:row>
    <x:row r="12">
      <x:c r="A12" t="str">
        <x:v>6</x:v>
      </x:c>
      <x:c r="B12" t="str">
        <x:v>Use dashboard KPIs for quick management decisions.</x:v>
      </x:c>
      <x:c r="C12" t="str">
        <x:v>Manager Dashboard</x:v>
      </x:c>
    </x:row>
  </x:sheetData>
  <x:mergeCells>
    <x:mergeCell ref="A1:H1"/>
    <x:mergeCell ref="A4:H4"/>
    <x:mergeCell ref="E7:H9"/>
  </x:mergeCells>
  <x:pageMargins left="0.7" right="0.7" top="0.75" bottom="0.75" header="0.3" footer="0.3"/>
  <x:tableParts count="1">
    <x:tablePart xmlns:r="http://schemas.openxmlformats.org/officeDocument/2006/relationships" r:id="R224b271961b045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46" t="str">
        <x:v>Jan-Pro Manager Dashboard</x:v>
      </x:c>
      <x:c r="B1" s="46" t="str"/>
      <x:c r="C1" s="46" t="str"/>
      <x:c r="D1" s="46" t="str"/>
      <x:c r="E1" s="46" t="str"/>
      <x:c r="F1" s="46" t="str"/>
      <x:c r="G1" s="46" t="str"/>
      <x:c r="H1" s="46" t="str"/>
      <x:c r="I1" s="46" t="str"/>
      <x:c r="J1" s="46" t="str"/>
      <x:c r="K1" s="46" t="str"/>
      <x:c r="L1" s="46" t="str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3">
      <x:c r="A3" s="24" t="str">
        <x:v>KPI</x:v>
      </x:c>
      <x:c r="B3" s="24" t="str">
        <x:v>Value</x:v>
      </x:c>
      <x:c r="C3" s="24" t="str">
        <x:v>Manager Read</x:v>
      </x:c>
      <x:c r="E3" s="14" t="str">
        <x:v>Items Needing Action</x:v>
      </x:c>
      <x:c r="F3" s="14" t="str"/>
      <x:c r="G3" s="14" t="str"/>
      <x:c r="H3" s="14" t="str"/>
      <x:c r="I3" s="14" t="str"/>
      <x:c r="J3" s="14" t="str"/>
    </x:row>
    <x:row r="4">
      <x:c r="A4" t="str">
        <x:v>Open PO Drafts</x:v>
      </x:c>
      <x:c r="B4" t="n">
        <x:f>COUNTIF('Purchase Orders'!$D$4:$D$13,"Draft")</x:f>
        <x:v>10</x:v>
      </x:c>
      <x:c r="C4" t="str">
        <x:v>Purchase orders waiting</x:v>
      </x:c>
      <x:c r="E4" s="44" t="str">
        <x:v>Item</x:v>
      </x:c>
      <x:c r="F4" s="44" t="str">
        <x:v>Current</x:v>
      </x:c>
      <x:c r="G4" s="44" t="str">
        <x:v>Reorder Point</x:v>
      </x:c>
      <x:c r="H4" s="44" t="str">
        <x:v>Status</x:v>
      </x:c>
      <x:c r="I4" s="44" t="str">
        <x:v>Suggested Qty</x:v>
      </x:c>
      <x:c r="J4" s="44" t="str">
        <x:v>Vendor</x:v>
      </x:c>
    </x:row>
    <x:row r="5">
      <x:c r="A5" t="str">
        <x:v>Items to Order</x:v>
      </x:c>
      <x:c r="B5" t="n">
        <x:f>COUNTIF(Inventory!$K$4:$K$13,"ORDER")</x:f>
        <x:v>10</x:v>
      </x:c>
      <x:c r="C5" t="str">
        <x:v>Inventory risk</x:v>
      </x:c>
      <x:c r="E5" t="str">
        <x:f>IFERROR(INDEX(FILTER(Inventory!$B$4:$B$13,Inventory!$K$4:$K$13&lt;&gt;"OK"),1),"")</x:f>
        <x:v>Trash Liners 55 Gal</x:v>
      </x:c>
      <x:c r="F5" t="n">
        <x:f>IFERROR(INDEX(FILTER(Inventory!$E$4:$E$13,Inventory!$K$4:$K$13&lt;&gt;"OK"),1),"")</x:f>
        <x:v>28</x:v>
      </x:c>
      <x:c r="G5" t="n">
        <x:f>IFERROR(INDEX(FILTER(Inventory!$I$4:$I$13,Inventory!$K$4:$K$13&lt;&gt;"OK"),1),"")</x:f>
        <x:v>91</x:v>
      </x:c>
      <x:c r="H5" t="str">
        <x:f>IFERROR(INDEX(FILTER(Inventory!$K$4:$K$13,Inventory!$K$4:$K$13&lt;&gt;"OK"),1),"")</x:f>
        <x:v>ORDER</x:v>
      </x:c>
      <x:c r="I5" t="n">
        <x:f>IFERROR(INDEX(FILTER(Inventory!$J$4:$J$13,Inventory!$K$4:$K$13&lt;&gt;"OK"),1),"")</x:f>
        <x:v>38</x:v>
      </x:c>
      <x:c r="J5" t="str">
        <x:f>IFERROR(INDEX(FILTER('Purchase Orders'!$I$4:$I$13,'Purchase Orders'!$D$4:$D$13="Draft"),1),"")</x:f>
        <x:v>CleanCo Supply</x:v>
      </x:c>
    </x:row>
    <x:row r="6">
      <x:c r="A6" t="str">
        <x:v>Watch Items</x:v>
      </x:c>
      <x:c r="B6" t="n">
        <x:f>COUNTIF(Inventory!$K$4:$K$13,"WATCH")</x:f>
        <x:v>0</x:v>
      </x:c>
      <x:c r="C6" t="str">
        <x:v>Near reorder point</x:v>
      </x:c>
      <x:c r="E6" t="str">
        <x:f>IFERROR(INDEX(FILTER(Inventory!$B$4:$B$13,Inventory!$K$4:$K$13&lt;&gt;"OK"),2),"")</x:f>
        <x:v>Nitrile Gloves</x:v>
      </x:c>
      <x:c r="F6" t="n">
        <x:f>IFERROR(INDEX(FILTER(Inventory!$E$4:$E$13,Inventory!$K$4:$K$13&lt;&gt;"OK"),2),"")</x:f>
        <x:v>45</x:v>
      </x:c>
      <x:c r="G6" t="n">
        <x:f>IFERROR(INDEX(FILTER(Inventory!$I$4:$I$13,Inventory!$K$4:$K$13&lt;&gt;"OK"),2),"")</x:f>
        <x:v>132</x:v>
      </x:c>
      <x:c r="H6" t="str">
        <x:f>IFERROR(INDEX(FILTER(Inventory!$K$4:$K$13,Inventory!$K$4:$K$13&lt;&gt;"OK"),2),"")</x:f>
        <x:v>ORDER</x:v>
      </x:c>
      <x:c r="I6" t="n">
        <x:f>IFERROR(INDEX(FILTER(Inventory!$J$4:$J$13,Inventory!$K$4:$K$13&lt;&gt;"OK"),2),"")</x:f>
        <x:v>75</x:v>
      </x:c>
      <x:c r="J6" t="str">
        <x:f>IFERROR(INDEX(FILTER('Purchase Orders'!$I$4:$I$13,'Purchase Orders'!$D$4:$D$13="Draft"),2),"")</x:f>
        <x:v>CleanCo Supply</x:v>
      </x:c>
    </x:row>
    <x:row r="7">
      <x:c r="A7" t="str">
        <x:v>Weekly Supply Forecast</x:v>
      </x:c>
      <x:c r="B7" s="28" t="n">
        <x:f>SUM(Inventory!$H$4:$H$13)</x:f>
        <x:v>391.99999999999994</x:v>
      </x:c>
      <x:c r="C7" t="str">
        <x:v>Expected weekly units</x:v>
      </x:c>
      <x:c r="E7" t="str">
        <x:f>IFERROR(INDEX(FILTER(Inventory!$B$4:$B$13,Inventory!$K$4:$K$13&lt;&gt;"OK"),3),"")</x:f>
        <x:v>Disinfectant Concentrate</x:v>
      </x:c>
      <x:c r="F7" t="n">
        <x:f>IFERROR(INDEX(FILTER(Inventory!$E$4:$E$13,Inventory!$K$4:$K$13&lt;&gt;"OK"),3),"")</x:f>
        <x:v>14</x:v>
      </x:c>
      <x:c r="G7" t="n">
        <x:f>IFERROR(INDEX(FILTER(Inventory!$I$4:$I$13,Inventory!$K$4:$K$13&lt;&gt;"OK"),3),"")</x:f>
        <x:v>84</x:v>
      </x:c>
      <x:c r="H7" t="str">
        <x:f>IFERROR(INDEX(FILTER(Inventory!$K$4:$K$13,Inventory!$K$4:$K$13&lt;&gt;"OK"),3),"")</x:f>
        <x:v>ORDER</x:v>
      </x:c>
      <x:c r="I7" t="n">
        <x:f>IFERROR(INDEX(FILTER(Inventory!$J$4:$J$13,Inventory!$K$4:$K$13&lt;&gt;"OK"),3),"")</x:f>
        <x:v>22</x:v>
      </x:c>
      <x:c r="J7" t="str">
        <x:f>IFERROR(INDEX(FILTER('Purchase Orders'!$I$4:$I$13,'Purchase Orders'!$D$4:$D$13="Draft"),3),"")</x:f>
        <x:v>Janitorial Direct</x:v>
      </x:c>
    </x:row>
    <x:row r="8">
      <x:c r="A8" t="str">
        <x:v>Estimated PO Cost</x:v>
      </x:c>
      <x:c r="B8" t="n">
        <x:f>SUM('Purchase Orders'!$K$4:$K$13)</x:f>
        <x:v>9063</x:v>
      </x:c>
      <x:c r="C8" t="str">
        <x:v>Projected spend</x:v>
      </x:c>
      <x:c r="E8" t="str">
        <x:f>IFERROR(INDEX(FILTER(Inventory!$B$4:$B$13,Inventory!$K$4:$K$13&lt;&gt;"OK"),4),"")</x:f>
        <x:v>Glass Cleaner</x:v>
      </x:c>
      <x:c r="F8" t="n">
        <x:f>IFERROR(INDEX(FILTER(Inventory!$E$4:$E$13,Inventory!$K$4:$K$13&lt;&gt;"OK"),4),"")</x:f>
        <x:v>12</x:v>
      </x:c>
      <x:c r="G8" t="n">
        <x:f>IFERROR(INDEX(FILTER(Inventory!$I$4:$I$13,Inventory!$K$4:$K$13&lt;&gt;"OK"),4),"")</x:f>
        <x:v>49</x:v>
      </x:c>
      <x:c r="H8" t="str">
        <x:f>IFERROR(INDEX(FILTER(Inventory!$K$4:$K$13,Inventory!$K$4:$K$13&lt;&gt;"OK"),4),"")</x:f>
        <x:v>ORDER</x:v>
      </x:c>
      <x:c r="I8" t="n">
        <x:f>IFERROR(INDEX(FILTER(Inventory!$J$4:$J$13,Inventory!$K$4:$K$13&lt;&gt;"OK"),4),"")</x:f>
        <x:v>12</x:v>
      </x:c>
      <x:c r="J8" t="str">
        <x:f>IFERROR(INDEX(FILTER('Purchase Orders'!$I$4:$I$13,'Purchase Orders'!$D$4:$D$13="Draft"),4),"")</x:f>
        <x:v>CleanCo Supply</x:v>
      </x:c>
    </x:row>
    <x:row r="9">
      <x:c r="A9" t="str">
        <x:v>Active Contracts</x:v>
      </x:c>
      <x:c r="B9" t="n">
        <x:f>COUNTIF(Contracts!$I$4:$I$15,"Yes")</x:f>
        <x:v>12</x:v>
      </x:c>
      <x:c r="C9" t="str">
        <x:v>Accounts running</x:v>
      </x:c>
      <x:c r="E9" t="str">
        <x:f>IFERROR(INDEX(FILTER(Inventory!$B$4:$B$13,Inventory!$K$4:$K$13&lt;&gt;"OK"),5),"")</x:f>
        <x:v>Paper Towels</x:v>
      </x:c>
      <x:c r="F9" t="n">
        <x:f>IFERROR(INDEX(FILTER(Inventory!$E$4:$E$13,Inventory!$K$4:$K$13&lt;&gt;"OK"),5),"")</x:f>
        <x:v>18</x:v>
      </x:c>
      <x:c r="G9" t="n">
        <x:f>IFERROR(INDEX(FILTER(Inventory!$I$4:$I$13,Inventory!$K$4:$K$13&lt;&gt;"OK"),5),"")</x:f>
        <x:v>97</x:v>
      </x:c>
      <x:c r="H9" t="str">
        <x:f>IFERROR(INDEX(FILTER(Inventory!$K$4:$K$13,Inventory!$K$4:$K$13&lt;&gt;"OK"),5),"")</x:f>
        <x:v>ORDER</x:v>
      </x:c>
      <x:c r="I9" t="n">
        <x:f>IFERROR(INDEX(FILTER(Inventory!$J$4:$J$13,Inventory!$K$4:$K$13&lt;&gt;"OK"),5),"")</x:f>
        <x:v>24</x:v>
      </x:c>
      <x:c r="J9" t="str">
        <x:f>IFERROR(INDEX(FILTER('Purchase Orders'!$I$4:$I$13,'Purchase Orders'!$D$4:$D$13="Draft"),5),"")</x:f>
        <x:v>CleanCo Supply</x:v>
      </x:c>
    </x:row>
    <x:row r="10">
      <x:c r="A10" t="str">
        <x:v>High/Critical Contracts</x:v>
      </x:c>
      <x:c r="B10" t="n">
        <x:f>COUNTIFS(Contracts!$G$4:$G$15,"High")+COUNTIFS(Contracts!$G$4:$G$15,"Critical")</x:f>
        <x:v>5</x:v>
      </x:c>
      <x:c r="C10" t="str">
        <x:v>Service risk focus</x:v>
      </x:c>
      <x:c r="E10" t="str">
        <x:f>IFERROR(INDEX(FILTER(Inventory!$B$4:$B$13,Inventory!$K$4:$K$13&lt;&gt;"OK"),6),"")</x:f>
        <x:v>Toilet Tissue</x:v>
      </x:c>
      <x:c r="F10" t="n">
        <x:f>IFERROR(INDEX(FILTER(Inventory!$E$4:$E$13,Inventory!$K$4:$K$13&lt;&gt;"OK"),6),"")</x:f>
        <x:v>16</x:v>
      </x:c>
      <x:c r="G10" t="n">
        <x:f>IFERROR(INDEX(FILTER(Inventory!$I$4:$I$13,Inventory!$K$4:$K$13&lt;&gt;"OK"),6),"")</x:f>
        <x:v>84</x:v>
      </x:c>
      <x:c r="H10" t="str">
        <x:f>IFERROR(INDEX(FILTER(Inventory!$K$4:$K$13,Inventory!$K$4:$K$13&lt;&gt;"OK"),6),"")</x:f>
        <x:v>ORDER</x:v>
      </x:c>
      <x:c r="I10" t="n">
        <x:f>IFERROR(INDEX(FILTER(Inventory!$J$4:$J$13,Inventory!$K$4:$K$13&lt;&gt;"OK"),6),"")</x:f>
        <x:v>20</x:v>
      </x:c>
      <x:c r="J10" t="str">
        <x:f>IFERROR(INDEX(FILTER('Purchase Orders'!$I$4:$I$13,'Purchase Orders'!$D$4:$D$13="Draft"),6),"")</x:f>
        <x:v>CleanCo Supply</x:v>
      </x:c>
    </x:row>
    <x:row r="11">
      <x:c r="E11" t="str">
        <x:f>IFERROR(INDEX(FILTER(Inventory!$B$4:$B$13,Inventory!$K$4:$K$13&lt;&gt;"OK"),7),"")</x:f>
        <x:v>Microfiber Towels</x:v>
      </x:c>
      <x:c r="F11" t="n">
        <x:f>IFERROR(INDEX(FILTER(Inventory!$E$4:$E$13,Inventory!$K$4:$K$13&lt;&gt;"OK"),7),"")</x:f>
        <x:v>20</x:v>
      </x:c>
      <x:c r="G11" t="n">
        <x:f>IFERROR(INDEX(FILTER(Inventory!$I$4:$I$13,Inventory!$K$4:$K$13&lt;&gt;"OK"),7),"")</x:f>
        <x:v>42</x:v>
      </x:c>
      <x:c r="H11" t="str">
        <x:f>IFERROR(INDEX(FILTER(Inventory!$K$4:$K$13,Inventory!$K$4:$K$13&lt;&gt;"OK"),7),"")</x:f>
        <x:v>ORDER</x:v>
      </x:c>
      <x:c r="I11" t="n">
        <x:f>IFERROR(INDEX(FILTER(Inventory!$J$4:$J$13,Inventory!$K$4:$K$13&lt;&gt;"OK"),7),"")</x:f>
        <x:v>10</x:v>
      </x:c>
      <x:c r="J11" t="str">
        <x:f>IFERROR(INDEX(FILTER('Purchase Orders'!$I$4:$I$13,'Purchase Orders'!$D$4:$D$13="Draft"),7),"")</x:f>
        <x:v>CleanCo Supply</x:v>
      </x:c>
    </x:row>
    <x:row r="12">
      <x:c r="E12" t="str">
        <x:f>IFERROR(INDEX(FILTER(Inventory!$B$4:$B$13,Inventory!$K$4:$K$13&lt;&gt;"OK"),8),"")</x:f>
        <x:v>Mop Heads</x:v>
      </x:c>
      <x:c r="F12" t="n">
        <x:f>IFERROR(INDEX(FILTER(Inventory!$E$4:$E$13,Inventory!$K$4:$K$13&lt;&gt;"OK"),8),"")</x:f>
        <x:v>13</x:v>
      </x:c>
      <x:c r="G12" t="n">
        <x:f>IFERROR(INDEX(FILTER(Inventory!$I$4:$I$13,Inventory!$K$4:$K$13&lt;&gt;"OK"),8),"")</x:f>
        <x:v>28</x:v>
      </x:c>
      <x:c r="H12" t="str">
        <x:f>IFERROR(INDEX(FILTER(Inventory!$K$4:$K$13,Inventory!$K$4:$K$13&lt;&gt;"OK"),8),"")</x:f>
        <x:v>ORDER</x:v>
      </x:c>
      <x:c r="I12" t="n">
        <x:f>IFERROR(INDEX(FILTER(Inventory!$J$4:$J$13,Inventory!$K$4:$K$13&lt;&gt;"OK"),8),"")</x:f>
        <x:v>11</x:v>
      </x:c>
      <x:c r="J12" t="str">
        <x:f>IFERROR(INDEX(FILTER('Purchase Orders'!$I$4:$I$13,'Purchase Orders'!$D$4:$D$13="Draft"),8),"")</x:f>
        <x:v>Janitorial Direct</x:v>
      </x:c>
    </x:row>
    <x:row r="13">
      <x:c r="A13" s="14" t="str">
        <x:v>Vendor Spend Forecast</x:v>
      </x:c>
      <x:c r="B13" s="14" t="str"/>
      <x:c r="C13" s="14" t="str"/>
      <x:c r="D13" s="14" t="str"/>
      <x:c r="E13" t="str">
        <x:f>IFERROR(INDEX(FILTER(Inventory!$B$4:$B$13,Inventory!$K$4:$K$13&lt;&gt;"OK"),9),"")</x:f>
        <x:v>Floor Cleaner</x:v>
      </x:c>
      <x:c r="F13" t="n">
        <x:f>IFERROR(INDEX(FILTER(Inventory!$E$4:$E$13,Inventory!$K$4:$K$13&lt;&gt;"OK"),9),"")</x:f>
        <x:v>10</x:v>
      </x:c>
      <x:c r="G13" t="n">
        <x:f>IFERROR(INDEX(FILTER(Inventory!$I$4:$I$13,Inventory!$K$4:$K$13&lt;&gt;"OK"),9),"")</x:f>
        <x:v>74</x:v>
      </x:c>
      <x:c r="H13" t="str">
        <x:f>IFERROR(INDEX(FILTER(Inventory!$K$4:$K$13,Inventory!$K$4:$K$13&lt;&gt;"OK"),9),"")</x:f>
        <x:v>ORDER</x:v>
      </x:c>
      <x:c r="I13" t="n">
        <x:f>IFERROR(INDEX(FILTER(Inventory!$J$4:$J$13,Inventory!$K$4:$K$13&lt;&gt;"OK"),9),"")</x:f>
        <x:v>20</x:v>
      </x:c>
      <x:c r="J13" t="str">
        <x:f>IFERROR(INDEX(FILTER('Purchase Orders'!$I$4:$I$13,'Purchase Orders'!$D$4:$D$13="Draft"),9),"")</x:f>
        <x:v>Janitorial Direct</x:v>
      </x:c>
    </x:row>
    <x:row r="14">
      <x:c r="A14" s="44" t="str">
        <x:v>Vendor</x:v>
      </x:c>
      <x:c r="B14" s="44" t="str">
        <x:v>Open PO Cost</x:v>
      </x:c>
      <x:c r="C14" s="44" t="str">
        <x:v>Open Lines</x:v>
      </x:c>
      <x:c r="D14" s="44" t="str">
        <x:v>Avg Lead Days</x:v>
      </x:c>
      <x:c r="E14" t="str">
        <x:f>IFERROR(INDEX(FILTER(Inventory!$B$4:$B$13,Inventory!$K$4:$K$13&lt;&gt;"OK"),10),"")</x:f>
        <x:v>Hand Soap Refill</x:v>
      </x:c>
      <x:c r="F14" t="n">
        <x:f>IFERROR(INDEX(FILTER(Inventory!$E$4:$E$13,Inventory!$K$4:$K$13&lt;&gt;"OK"),10),"")</x:f>
        <x:v>11</x:v>
      </x:c>
      <x:c r="G14" t="n">
        <x:f>IFERROR(INDEX(FILTER(Inventory!$I$4:$I$13,Inventory!$K$4:$K$13&lt;&gt;"OK"),10),"")</x:f>
        <x:v>56</x:v>
      </x:c>
      <x:c r="H14" t="str">
        <x:f>IFERROR(INDEX(FILTER(Inventory!$K$4:$K$13,Inventory!$K$4:$K$13&lt;&gt;"OK"),10),"")</x:f>
        <x:v>ORDER</x:v>
      </x:c>
      <x:c r="I14" t="n">
        <x:f>IFERROR(INDEX(FILTER(Inventory!$J$4:$J$13,Inventory!$K$4:$K$13&lt;&gt;"OK"),10),"")</x:f>
        <x:v>13</x:v>
      </x:c>
      <x:c r="J14" t="str">
        <x:f>IFERROR(INDEX(FILTER('Purchase Orders'!$I$4:$I$13,'Purchase Orders'!$D$4:$D$13="Draft"),10),"")</x:f>
        <x:v>CleanCo Supply</x:v>
      </x:c>
    </x:row>
    <x:row r="15">
      <x:c r="A15" t="str">
        <x:v>CleanCo Supply</x:v>
      </x:c>
      <x:c r="B15" s="28" t="n">
        <x:f>SUMIFS('Purchase Orders'!$K$4:$K$13,'Purchase Orders'!$I$4:$I$13,A15,'Purchase Orders'!$D$4:$D$13,"Draft")</x:f>
        <x:v>8016</x:v>
      </x:c>
      <x:c r="C15" t="n">
        <x:f>COUNTIFS('Purchase Orders'!$I$4:$I$13,A15,'Purchase Orders'!$D$4:$D$13,"Draft")</x:f>
        <x:v>7</x:v>
      </x:c>
      <x:c r="D15" t="n">
        <x:f>IFERROR(AVERAGEIFS('Purchase Orders'!$L$4:$L$13,'Purchase Orders'!$I$4:$I$13,A15,'Purchase Orders'!$D$4:$D$13,"Draft"),0)</x:f>
        <x:v>2.5714285714285716</x:v>
      </x:c>
    </x:row>
    <x:row r="16">
      <x:c r="A16" t="str">
        <x:v>Facility Depot</x:v>
      </x:c>
      <x:c r="B16" s="28" t="n">
        <x:f>SUMIFS('Purchase Orders'!$K$4:$K$13,'Purchase Orders'!$I$4:$I$13,A16,'Purchase Orders'!$D$4:$D$13,"Draft")</x:f>
        <x:v>0</x:v>
      </x:c>
      <x:c r="C16" t="n">
        <x:f>COUNTIFS('Purchase Orders'!$I$4:$I$13,A16,'Purchase Orders'!$D$4:$D$13,"Draft")</x:f>
        <x:v>0</x:v>
      </x:c>
      <x:c r="D16" t="n">
        <x:f>IFERROR(AVERAGEIFS('Purchase Orders'!$L$4:$L$13,'Purchase Orders'!$I$4:$I$13,A16,'Purchase Orders'!$D$4:$D$13,"Draft"),0)</x:f>
        <x:v>0</x:v>
      </x:c>
    </x:row>
    <x:row r="17">
      <x:c r="A17" t="str">
        <x:v>Janitorial Direct</x:v>
      </x:c>
      <x:c r="B17" s="28" t="n">
        <x:f>SUMIFS('Purchase Orders'!$K$4:$K$13,'Purchase Orders'!$I$4:$I$13,A17,'Purchase Orders'!$D$4:$D$13,"Draft")</x:f>
        <x:v>1047</x:v>
      </x:c>
      <x:c r="C17" t="n">
        <x:f>COUNTIFS('Purchase Orders'!$I$4:$I$13,A17,'Purchase Orders'!$D$4:$D$13,"Draft")</x:f>
        <x:v>3</x:v>
      </x:c>
      <x:c r="D17" t="n">
        <x:f>IFERROR(AVERAGEIFS('Purchase Orders'!$L$4:$L$13,'Purchase Orders'!$I$4:$I$13,A17,'Purchase Orders'!$D$4:$D$13,"Draft"),0)</x:f>
        <x:v>3</x:v>
      </x:c>
      <x:c r="E17" s="14" t="str">
        <x:v>Manager Workflow</x:v>
      </x:c>
      <x:c r="F17" s="14" t="str"/>
      <x:c r="G17" s="14" t="str"/>
      <x:c r="H17" s="14" t="str"/>
      <x:c r="I17" s="14" t="str"/>
      <x:c r="J17" s="14" t="str"/>
      <x:c r="K17" s="14" t="str"/>
      <x:c r="L17" s="14" t="str"/>
    </x:row>
    <x:row r="18">
      <x:c r="E18" s="16" t="str">
        <x:v>1</x:v>
      </x:c>
      <x:c r="F18" s="16" t="str">
        <x:v>Check KPI block for risk.</x:v>
      </x:c>
      <x:c r="G18" s="16" t="str"/>
      <x:c r="H18" s="16" t="str"/>
      <x:c r="I18" s="16" t="str"/>
      <x:c r="J18" s="16" t="str"/>
      <x:c r="K18" s="16" t="str"/>
      <x:c r="L18" s="16" t="str"/>
    </x:row>
    <x:row r="19">
      <x:c r="E19" s="16" t="str">
        <x:v>2</x:v>
      </x:c>
      <x:c r="F19" s="16" t="str">
        <x:v>Review action items. Anything ORDER should be placed or confirmed.</x:v>
      </x:c>
      <x:c r="G19" s="16" t="str"/>
      <x:c r="H19" s="16" t="str"/>
      <x:c r="I19" s="16" t="str"/>
      <x:c r="J19" s="16" t="str"/>
      <x:c r="K19" s="16" t="str"/>
      <x:c r="L19" s="16" t="str"/>
    </x:row>
    <x:row r="20">
      <x:c r="E20" s="16" t="str">
        <x:v>3</x:v>
      </x:c>
      <x:c r="F20" s="16" t="str">
        <x:v>Use Vendors tab if a preferred supplier is delayed.</x:v>
      </x:c>
      <x:c r="G20" s="16" t="str"/>
      <x:c r="H20" s="16" t="str"/>
      <x:c r="I20" s="16" t="str"/>
      <x:c r="J20" s="16" t="str"/>
      <x:c r="K20" s="16" t="str"/>
      <x:c r="L20" s="16" t="str"/>
    </x:row>
    <x:row r="21">
      <x:c r="E21" s="16" t="str">
        <x:v>4</x:v>
      </x:c>
      <x:c r="F21" s="16" t="str">
        <x:v>Use Purchase Orders tab to change Draft → Submitted → Confirmed → Received.</x:v>
      </x:c>
      <x:c r="G21" s="16" t="str"/>
      <x:c r="H21" s="16" t="str"/>
      <x:c r="I21" s="16" t="str"/>
      <x:c r="J21" s="16" t="str"/>
      <x:c r="K21" s="16" t="str"/>
      <x:c r="L21" s="16" t="str"/>
    </x:row>
    <x:row r="22">
      <x:c r="E22" s="16" t="str">
        <x:v>5</x:v>
      </x:c>
      <x:c r="F22" s="16" t="str">
        <x:v>Update Inventory after received orders or physical counts.</x:v>
      </x:c>
      <x:c r="G22" s="16" t="str"/>
      <x:c r="H22" s="16" t="str"/>
      <x:c r="I22" s="16" t="str"/>
      <x:c r="J22" s="16" t="str"/>
      <x:c r="K22" s="16" t="str"/>
      <x:c r="L22" s="16" t="str"/>
    </x:row>
  </x:sheetData>
  <x:conditionalFormatting sqref="H5:H14">
    <x:cfRule type="expression" dxfId="6" priority="1">
      <x:formula>H5="ORDER"</x:formula>
    </x:cfRule>
    <x:cfRule type="expression" dxfId="7" priority="2">
      <x:formula>H5="WATCH"</x:formula>
    </x:cfRule>
  </x:conditionalFormatting>
  <x:pageMargins left="0.7" right="0.7" top="0.75" bottom="0.75" header="0.3" footer="0.3"/>
  <x:drawing xmlns:r="http://schemas.openxmlformats.org/officeDocument/2006/relationships" r:id="R85ae05bc67954f30"/>
  <x:tableParts count="1">
    <x:tablePart xmlns:r="http://schemas.openxmlformats.org/officeDocument/2006/relationships" r:id="Rd050d50f571b4f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46" t="str">
        <x:v>Contracts and Service Demand</x:v>
      </x:c>
      <x:c r="B1" s="46" t="str"/>
      <x:c r="C1" s="46" t="str"/>
      <x:c r="D1" s="46" t="str"/>
      <x:c r="E1" s="46" t="str"/>
      <x:c r="F1" s="46" t="str"/>
      <x:c r="G1" s="46" t="str"/>
      <x:c r="H1" s="46" t="str"/>
      <x:c r="I1" s="46" t="str"/>
      <x:c r="J1" s="46" t="str"/>
      <x:c r="K1" s="46" t="str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3">
      <x:c r="A3" s="24" t="str">
        <x:v>Client</x:v>
      </x:c>
      <x:c r="B3" s="24" t="str">
        <x:v>Site Address</x:v>
      </x:c>
      <x:c r="C3" s="24" t="str">
        <x:v>Service Type</x:v>
      </x:c>
      <x:c r="D3" s="24" t="str">
        <x:v>Sq Ft</x:v>
      </x:c>
      <x:c r="E3" s="24" t="str">
        <x:v>Days/Week</x:v>
      </x:c>
      <x:c r="F3" s="24" t="str">
        <x:v>Headcount</x:v>
      </x:c>
      <x:c r="G3" s="24" t="str">
        <x:v>Priority</x:v>
      </x:c>
      <x:c r="H3" s="24" t="str">
        <x:v>Start Date</x:v>
      </x:c>
      <x:c r="I3" s="24" t="str">
        <x:v>Active</x:v>
      </x:c>
      <x:c r="J3" s="24" t="str">
        <x:v>Weekly Visits</x:v>
      </x:c>
      <x:c r="K3" s="24" t="str">
        <x:v>Notes</x:v>
      </x:c>
    </x:row>
    <x:row r="4">
      <x:c r="A4" t="str">
        <x:v>Bank</x:v>
      </x:c>
      <x:c r="B4" t="str">
        <x:v>4204 Main St, Dallas, TX</x:v>
      </x:c>
      <x:c r="C4" t="str">
        <x:v>Office</x:v>
      </x:c>
      <x:c r="D4" s="48" t="n">
        <x:v>4500</x:v>
      </x:c>
      <x:c r="E4" t="n">
        <x:v>5</x:v>
      </x:c>
      <x:c r="F4" t="n">
        <x:v>1</x:v>
      </x:c>
      <x:c r="G4" t="str">
        <x:v>High</x:v>
      </x:c>
      <x:c r="H4" s="26" t="n">
        <x:v>46023</x:v>
      </x:c>
      <x:c r="I4" t="str">
        <x:v>Yes</x:v>
      </x:c>
      <x:c r="J4" t="n">
        <x:f>IF(I4="Yes",E4,0)</x:f>
        <x:v>5</x:v>
      </x:c>
      <x:c r="K4" t="str">
        <x:v>Lobby, restrooms, teller area</x:v>
      </x:c>
    </x:row>
    <x:row r="5">
      <x:c r="A5" t="str">
        <x:v>HighSchool</x:v>
      </x:c>
      <x:c r="B5" t="str">
        <x:v>2194 Main St, Fort Worth, TX</x:v>
      </x:c>
      <x:c r="C5" t="str">
        <x:v>Education</x:v>
      </x:c>
      <x:c r="D5" s="48" t="n">
        <x:v>52000</x:v>
      </x:c>
      <x:c r="E5" t="n">
        <x:v>5</x:v>
      </x:c>
      <x:c r="F5" t="n">
        <x:v>2</x:v>
      </x:c>
      <x:c r="G5" t="str">
        <x:v>High</x:v>
      </x:c>
      <x:c r="H5" s="26" t="n">
        <x:v>46023</x:v>
      </x:c>
      <x:c r="I5" t="str">
        <x:v>Yes</x:v>
      </x:c>
      <x:c r="J5" t="n">
        <x:f>IF(I5="Yes",E5,0)</x:f>
        <x:v>5</x:v>
      </x:c>
      <x:c r="K5" t="str">
        <x:v>Classrooms and cafeteria</x:v>
      </x:c>
    </x:row>
    <x:row r="6">
      <x:c r="A6" t="str">
        <x:v>CityHall</x:v>
      </x:c>
      <x:c r="B6" t="str">
        <x:v>6048 Main St, Arlington, TX</x:v>
      </x:c>
      <x:c r="C6" t="str">
        <x:v>Office</x:v>
      </x:c>
      <x:c r="D6" s="48" t="n">
        <x:v>18000</x:v>
      </x:c>
      <x:c r="E6" t="n">
        <x:v>5</x:v>
      </x:c>
      <x:c r="F6" t="n">
        <x:v>2</x:v>
      </x:c>
      <x:c r="G6" t="str">
        <x:v>Normal</x:v>
      </x:c>
      <x:c r="H6" s="26" t="n">
        <x:v>46023</x:v>
      </x:c>
      <x:c r="I6" t="str">
        <x:v>Yes</x:v>
      </x:c>
      <x:c r="J6" t="n">
        <x:f>IF(I6="Yes",E6,0)</x:f>
        <x:v>5</x:v>
      </x:c>
      <x:c r="K6" t="str">
        <x:v>Public building</x:v>
      </x:c>
    </x:row>
    <x:row r="7">
      <x:c r="A7" t="str">
        <x:v>Library</x:v>
      </x:c>
      <x:c r="B7" t="str">
        <x:v>7126 Main St, Plano, TX</x:v>
      </x:c>
      <x:c r="C7" t="str">
        <x:v>Light Office</x:v>
      </x:c>
      <x:c r="D7" s="48" t="n">
        <x:v>14000</x:v>
      </x:c>
      <x:c r="E7" t="n">
        <x:v>5</x:v>
      </x:c>
      <x:c r="F7" t="n">
        <x:v>1</x:v>
      </x:c>
      <x:c r="G7" t="str">
        <x:v>Normal</x:v>
      </x:c>
      <x:c r="H7" s="26" t="n">
        <x:v>46023</x:v>
      </x:c>
      <x:c r="I7" t="str">
        <x:v>Yes</x:v>
      </x:c>
      <x:c r="J7" t="n">
        <x:f>IF(I7="Yes",E7,0)</x:f>
        <x:v>5</x:v>
      </x:c>
      <x:c r="K7" t="str">
        <x:v>Quiet zone, restrooms</x:v>
      </x:c>
    </x:row>
    <x:row r="8">
      <x:c r="A8" t="str">
        <x:v>FireStation</x:v>
      </x:c>
      <x:c r="B8" t="str">
        <x:v>9627 Main St, Irving, TX</x:v>
      </x:c>
      <x:c r="C8" t="str">
        <x:v>Industrial</x:v>
      </x:c>
      <x:c r="D8" s="48" t="n">
        <x:v>9000</x:v>
      </x:c>
      <x:c r="E8" t="n">
        <x:v>5</x:v>
      </x:c>
      <x:c r="F8" t="n">
        <x:v>1</x:v>
      </x:c>
      <x:c r="G8" t="str">
        <x:v>High</x:v>
      </x:c>
      <x:c r="H8" s="26" t="n">
        <x:v>46023</x:v>
      </x:c>
      <x:c r="I8" t="str">
        <x:v>Yes</x:v>
      </x:c>
      <x:c r="J8" t="n">
        <x:f>IF(I8="Yes",E8,0)</x:f>
        <x:v>5</x:v>
      </x:c>
      <x:c r="K8" t="str">
        <x:v>Bay floor, kitchen</x:v>
      </x:c>
    </x:row>
    <x:row r="9">
      <x:c r="A9" t="str">
        <x:v>CityHall2</x:v>
      </x:c>
      <x:c r="B9" t="str">
        <x:v>2363 Main St, Garland, TX</x:v>
      </x:c>
      <x:c r="C9" t="str">
        <x:v>Office</x:v>
      </x:c>
      <x:c r="D9" s="48" t="n">
        <x:v>12000</x:v>
      </x:c>
      <x:c r="E9" t="n">
        <x:v>5</x:v>
      </x:c>
      <x:c r="F9" t="n">
        <x:v>1</x:v>
      </x:c>
      <x:c r="G9" t="str">
        <x:v>Normal</x:v>
      </x:c>
      <x:c r="H9" s="26" t="n">
        <x:v>46023</x:v>
      </x:c>
      <x:c r="I9" t="str">
        <x:v>Yes</x:v>
      </x:c>
      <x:c r="J9" t="n">
        <x:f>IF(I9="Yes",E9,0)</x:f>
        <x:v>5</x:v>
      </x:c>
      <x:c r="K9" t="str"/>
    </x:row>
    <x:row r="10">
      <x:c r="A10" t="str">
        <x:v>Highschool2</x:v>
      </x:c>
      <x:c r="B10" t="str">
        <x:v>4202 Main St, Frisco, TX</x:v>
      </x:c>
      <x:c r="C10" t="str">
        <x:v>Education</x:v>
      </x:c>
      <x:c r="D10" s="48" t="n">
        <x:v>47000</x:v>
      </x:c>
      <x:c r="E10" t="n">
        <x:v>6</x:v>
      </x:c>
      <x:c r="F10" t="n">
        <x:v>2</x:v>
      </x:c>
      <x:c r="G10" t="str">
        <x:v>High</x:v>
      </x:c>
      <x:c r="H10" s="26" t="n">
        <x:v>46023</x:v>
      </x:c>
      <x:c r="I10" t="str">
        <x:v>Yes</x:v>
      </x:c>
      <x:c r="J10" t="n">
        <x:f>IF(I10="Yes",E10,0)</x:f>
        <x:v>6</x:v>
      </x:c>
      <x:c r="K10" t="str"/>
    </x:row>
    <x:row r="11">
      <x:c r="A11" t="str">
        <x:v>FireStation2</x:v>
      </x:c>
      <x:c r="B11" t="str">
        <x:v>2290 Main St, McKinney, TX</x:v>
      </x:c>
      <x:c r="C11" t="str">
        <x:v>Industrial</x:v>
      </x:c>
      <x:c r="D11" s="48" t="n">
        <x:v>8000</x:v>
      </x:c>
      <x:c r="E11" t="n">
        <x:v>6</x:v>
      </x:c>
      <x:c r="F11" t="n">
        <x:v>1</x:v>
      </x:c>
      <x:c r="G11" t="str">
        <x:v>Normal</x:v>
      </x:c>
      <x:c r="H11" s="26" t="n">
        <x:v>46023</x:v>
      </x:c>
      <x:c r="I11" t="str">
        <x:v>Yes</x:v>
      </x:c>
      <x:c r="J11" t="n">
        <x:f>IF(I11="Yes",E11,0)</x:f>
        <x:v>6</x:v>
      </x:c>
      <x:c r="K11" t="str"/>
    </x:row>
    <x:row r="12">
      <x:c r="A12" t="str">
        <x:v>CityHall3</x:v>
      </x:c>
      <x:c r="B12" t="str">
        <x:v>7444 Main St, Grand Prairie, TX</x:v>
      </x:c>
      <x:c r="C12" t="str">
        <x:v>Office</x:v>
      </x:c>
      <x:c r="D12" s="48" t="n">
        <x:v>22000</x:v>
      </x:c>
      <x:c r="E12" t="n">
        <x:v>6</x:v>
      </x:c>
      <x:c r="F12" t="n">
        <x:v>2</x:v>
      </x:c>
      <x:c r="G12" t="str">
        <x:v>Normal</x:v>
      </x:c>
      <x:c r="H12" s="26" t="n">
        <x:v>46023</x:v>
      </x:c>
      <x:c r="I12" t="str">
        <x:v>Yes</x:v>
      </x:c>
      <x:c r="J12" t="n">
        <x:f>IF(I12="Yes",E12,0)</x:f>
        <x:v>6</x:v>
      </x:c>
      <x:c r="K12" t="str"/>
    </x:row>
    <x:row r="13">
      <x:c r="A13" t="str">
        <x:v>HighSchool3</x:v>
      </x:c>
      <x:c r="B13" t="str">
        <x:v>5477 Main St, Denton, TX</x:v>
      </x:c>
      <x:c r="C13" t="str">
        <x:v>Education</x:v>
      </x:c>
      <x:c r="D13" s="48" t="n">
        <x:v>68000</x:v>
      </x:c>
      <x:c r="E13" t="n">
        <x:v>6</x:v>
      </x:c>
      <x:c r="F13" t="n">
        <x:v>4</x:v>
      </x:c>
      <x:c r="G13" t="str">
        <x:v>Critical</x:v>
      </x:c>
      <x:c r="H13" s="26" t="n">
        <x:v>46023</x:v>
      </x:c>
      <x:c r="I13" t="str">
        <x:v>Yes</x:v>
      </x:c>
      <x:c r="J13" t="n">
        <x:f>IF(I13="Yes",E13,0)</x:f>
        <x:v>6</x:v>
      </x:c>
      <x:c r="K13" t="str">
        <x:v>Large account, higher risk</x:v>
      </x:c>
    </x:row>
    <x:row r="14">
      <x:c r="A14" t="str">
        <x:v>FireStation3</x:v>
      </x:c>
      <x:c r="B14" t="str">
        <x:v>3987 Main St, Mesquite, TX</x:v>
      </x:c>
      <x:c r="C14" t="str">
        <x:v>Industrial</x:v>
      </x:c>
      <x:c r="D14" s="48" t="n">
        <x:v>8200</x:v>
      </x:c>
      <x:c r="E14" t="n">
        <x:v>6</x:v>
      </x:c>
      <x:c r="F14" t="n">
        <x:v>1</x:v>
      </x:c>
      <x:c r="G14" t="str">
        <x:v>Normal</x:v>
      </x:c>
      <x:c r="H14" s="26" t="n">
        <x:v>46023</x:v>
      </x:c>
      <x:c r="I14" t="str">
        <x:v>Yes</x:v>
      </x:c>
      <x:c r="J14" t="n">
        <x:f>IF(I14="Yes",E14,0)</x:f>
        <x:v>6</x:v>
      </x:c>
      <x:c r="K14" t="str"/>
    </x:row>
    <x:row r="15">
      <x:c r="A15" t="str">
        <x:v>Library2</x:v>
      </x:c>
      <x:c r="B15" t="str">
        <x:v>4031 Main St, Richardson, TX</x:v>
      </x:c>
      <x:c r="C15" t="str">
        <x:v>Light Office</x:v>
      </x:c>
      <x:c r="D15" s="48" t="n">
        <x:v>16000</x:v>
      </x:c>
      <x:c r="E15" t="n">
        <x:v>6</x:v>
      </x:c>
      <x:c r="F15" t="n">
        <x:v>2</x:v>
      </x:c>
      <x:c r="G15" t="str">
        <x:v>Normal</x:v>
      </x:c>
      <x:c r="H15" s="26" t="n">
        <x:v>46023</x:v>
      </x:c>
      <x:c r="I15" t="str">
        <x:v>Yes</x:v>
      </x:c>
      <x:c r="J15" t="n">
        <x:f>IF(I15="Yes",E15,0)</x:f>
        <x:v>6</x:v>
      </x:c>
      <x:c r="K15" t="str"/>
    </x:row>
  </x:sheetData>
  <x:dataValidations count="3">
    <x:dataValidation type="list" sqref="C4:C60">
      <x:formula1>Settings!$A$4:$A$10</x:formula1>
    </x:dataValidation>
    <x:dataValidation type="list" sqref="G4:G60">
      <x:formula1>Settings!$F$4:$F$7</x:formula1>
    </x:dataValidation>
    <x:dataValidation type="list" sqref="I4:I6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15e73704f34a7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46" t="str">
        <x:v>Employee Availability and Manager Dispatch Notes</x:v>
      </x:c>
      <x:c r="B1" s="46" t="str"/>
      <x:c r="C1" s="46" t="str"/>
      <x:c r="D1" s="46" t="str"/>
      <x:c r="E1" s="46" t="str"/>
      <x:c r="F1" s="46" t="str"/>
      <x:c r="G1" s="46" t="str"/>
      <x:c r="H1" s="46" t="str"/>
      <x:c r="I1" s="46" t="str"/>
      <x:c r="J1" s="46" t="str"/>
      <x:c r="K1" s="46" t="str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3">
      <x:c r="A3" s="24" t="str">
        <x:v>ID</x:v>
      </x:c>
      <x:c r="B3" s="24" t="str">
        <x:v>Name</x:v>
      </x:c>
      <x:c r="C3" s="24" t="str">
        <x:v>Role</x:v>
      </x:c>
      <x:c r="D3" s="24" t="str">
        <x:v>Pay Rate</x:v>
      </x:c>
      <x:c r="E3" s="24" t="str">
        <x:v>Home Address</x:v>
      </x:c>
      <x:c r="F3" s="24" t="str">
        <x:v>Mon</x:v>
      </x:c>
      <x:c r="G3" s="24" t="str">
        <x:v>Tue</x:v>
      </x:c>
      <x:c r="H3" s="24" t="str">
        <x:v>Wed</x:v>
      </x:c>
      <x:c r="I3" s="24" t="str">
        <x:v>Thu</x:v>
      </x:c>
      <x:c r="J3" s="24" t="str">
        <x:v>Fri</x:v>
      </x:c>
      <x:c r="K3" s="24" t="str">
        <x:v>Sat</x:v>
      </x:c>
      <x:c r="L3" s="24" t="str">
        <x:v>Sun</x:v>
      </x:c>
    </x:row>
    <x:row r="4">
      <x:c r="A4" t="str">
        <x:v>JAN001</x:v>
      </x:c>
      <x:c r="B4" t="str">
        <x:v>Alex Rivera</x:v>
      </x:c>
      <x:c r="C4" t="str">
        <x:v>Cleaner</x:v>
      </x:c>
      <x:c r="D4" s="28" t="n">
        <x:v>17.5</x:v>
      </x:c>
      <x:c r="E4" t="str">
        <x:v>9407 Oak St, Dallas, TX</x:v>
      </x:c>
      <x:c r="F4" t="n">
        <x:v>1</x:v>
      </x:c>
      <x:c r="G4" t="n">
        <x:v>1</x:v>
      </x:c>
      <x:c r="H4" t="n">
        <x:v>1</x:v>
      </x:c>
      <x:c r="I4" t="n">
        <x:v>1</x:v>
      </x:c>
      <x:c r="J4" t="n">
        <x:v>1</x:v>
      </x:c>
      <x:c r="K4" t="n">
        <x:v>0</x:v>
      </x:c>
      <x:c r="L4" t="n">
        <x:v>1</x:v>
      </x:c>
    </x:row>
    <x:row r="5">
      <x:c r="A5" t="str">
        <x:v>JAN002</x:v>
      </x:c>
      <x:c r="B5" t="str">
        <x:v>Morgan Lee</x:v>
      </x:c>
      <x:c r="C5" t="str">
        <x:v>Cleaner</x:v>
      </x:c>
      <x:c r="D5" s="28" t="n">
        <x:v>17.25</x:v>
      </x:c>
      <x:c r="E5" t="str">
        <x:v>4586 Oak St, Fort Worth, TX</x:v>
      </x:c>
      <x:c r="F5" t="n">
        <x:v>1</x:v>
      </x:c>
      <x:c r="G5" t="n">
        <x:v>1</x:v>
      </x:c>
      <x:c r="H5" t="n">
        <x:v>1</x:v>
      </x:c>
      <x:c r="I5" t="n">
        <x:v>1</x:v>
      </x:c>
      <x:c r="J5" t="n">
        <x:v>1</x:v>
      </x:c>
      <x:c r="K5" t="n">
        <x:v>1</x:v>
      </x:c>
      <x:c r="L5" t="n">
        <x:v>0</x:v>
      </x:c>
    </x:row>
    <x:row r="6">
      <x:c r="A6" t="str">
        <x:v>JAN003</x:v>
      </x:c>
      <x:c r="B6" t="str">
        <x:v>Chris Johnson</x:v>
      </x:c>
      <x:c r="C6" t="str">
        <x:v>Cleaner</x:v>
      </x:c>
      <x:c r="D6" s="28" t="n">
        <x:v>17.25</x:v>
      </x:c>
      <x:c r="E6" t="str">
        <x:v>2832 Oak St, Arlington, TX</x:v>
      </x:c>
      <x:c r="F6" t="n">
        <x:v>0</x:v>
      </x:c>
      <x:c r="G6" t="n">
        <x:v>1</x:v>
      </x:c>
      <x:c r="H6" t="n">
        <x:v>1</x:v>
      </x:c>
      <x:c r="I6" t="n">
        <x:v>1</x:v>
      </x:c>
      <x:c r="J6" t="n">
        <x:v>1</x:v>
      </x:c>
      <x:c r="K6" t="n">
        <x:v>1</x:v>
      </x:c>
      <x:c r="L6" t="n">
        <x:v>1</x:v>
      </x:c>
    </x:row>
    <x:row r="7">
      <x:c r="A7" t="str">
        <x:v>JAN004</x:v>
      </x:c>
      <x:c r="B7" t="str">
        <x:v>Taylor Smith</x:v>
      </x:c>
      <x:c r="C7" t="str">
        <x:v>Cleaner</x:v>
      </x:c>
      <x:c r="D7" s="28" t="n">
        <x:v>17.75</x:v>
      </x:c>
      <x:c r="E7" t="str">
        <x:v>3206 Oak St, Plano, TX</x:v>
      </x:c>
      <x:c r="F7" t="n">
        <x:v>1</x:v>
      </x:c>
      <x:c r="G7" t="n">
        <x:v>0</x:v>
      </x:c>
      <x:c r="H7" t="n">
        <x:v>1</x:v>
      </x:c>
      <x:c r="I7" t="n">
        <x:v>1</x:v>
      </x:c>
      <x:c r="J7" t="n">
        <x:v>1</x:v>
      </x:c>
      <x:c r="K7" t="n">
        <x:v>1</x:v>
      </x:c>
      <x:c r="L7" t="n">
        <x:v>1</x:v>
      </x:c>
    </x:row>
    <x:row r="8">
      <x:c r="A8" t="str">
        <x:v>JAN005</x:v>
      </x:c>
      <x:c r="B8" t="str">
        <x:v>Jamie Patel</x:v>
      </x:c>
      <x:c r="C8" t="str">
        <x:v>Cleaner</x:v>
      </x:c>
      <x:c r="D8" s="28" t="n">
        <x:v>17.25</x:v>
      </x:c>
      <x:c r="E8" t="str">
        <x:v>7340 Oak St, Irving, TX</x:v>
      </x:c>
      <x:c r="F8" t="n">
        <x:v>1</x:v>
      </x:c>
      <x:c r="G8" t="n">
        <x:v>1</x:v>
      </x:c>
      <x:c r="H8" t="n">
        <x:v>1</x:v>
      </x:c>
      <x:c r="I8" t="n">
        <x:v>1</x:v>
      </x:c>
      <x:c r="J8" t="n">
        <x:v>1</x:v>
      </x:c>
      <x:c r="K8" t="n">
        <x:v>0</x:v>
      </x:c>
      <x:c r="L8" t="n">
        <x:v>0</x:v>
      </x:c>
    </x:row>
    <x:row r="9">
      <x:c r="A9" t="str">
        <x:v>JAN006</x:v>
      </x:c>
      <x:c r="B9" t="str">
        <x:v>Riley Garcia</x:v>
      </x:c>
      <x:c r="C9" t="str">
        <x:v>Cleaner</x:v>
      </x:c>
      <x:c r="D9" s="28" t="n">
        <x:v>17.5</x:v>
      </x:c>
      <x:c r="E9" t="str">
        <x:v>2308 Oak St, Garland, TX</x:v>
      </x:c>
      <x:c r="F9" t="n">
        <x:v>1</x:v>
      </x:c>
      <x:c r="G9" t="n">
        <x:v>1</x:v>
      </x:c>
      <x:c r="H9" t="n">
        <x:v>1</x:v>
      </x:c>
      <x:c r="I9" t="n">
        <x:v>0</x:v>
      </x:c>
      <x:c r="J9" t="n">
        <x:v>1</x:v>
      </x:c>
      <x:c r="K9" t="n">
        <x:v>1</x:v>
      </x:c>
      <x:c r="L9" t="n">
        <x:v>1</x:v>
      </x:c>
    </x:row>
    <x:row r="10">
      <x:c r="A10" t="str">
        <x:v>JAN007</x:v>
      </x:c>
      <x:c r="B10" t="str">
        <x:v>Jordan Kim</x:v>
      </x:c>
      <x:c r="C10" t="str">
        <x:v>Cleaner</x:v>
      </x:c>
      <x:c r="D10" s="28" t="n">
        <x:v>17.25</x:v>
      </x:c>
      <x:c r="E10" t="str">
        <x:v>9630 Oak St, Frisco, TX</x:v>
      </x:c>
      <x:c r="F10" t="n">
        <x:v>0</x:v>
      </x:c>
      <x:c r="G10" t="n">
        <x:v>0</x:v>
      </x:c>
      <x:c r="H10" t="n">
        <x:v>1</x:v>
      </x:c>
      <x:c r="I10" t="n">
        <x:v>1</x:v>
      </x:c>
      <x:c r="J10" t="n">
        <x:v>1</x:v>
      </x:c>
      <x:c r="K10" t="n">
        <x:v>1</x:v>
      </x:c>
      <x:c r="L10" t="n">
        <x:v>1</x:v>
      </x:c>
    </x:row>
    <x:row r="11">
      <x:c r="A11" t="str">
        <x:v>JAN008</x:v>
      </x:c>
      <x:c r="B11" t="str">
        <x:v>Casey Brown</x:v>
      </x:c>
      <x:c r="C11" t="str">
        <x:v>Cleaner</x:v>
      </x:c>
      <x:c r="D11" s="28" t="n">
        <x:v>17.25</x:v>
      </x:c>
      <x:c r="E11" t="str">
        <x:v>4561 Oak St, McKinney, TX</x:v>
      </x:c>
      <x:c r="F11" t="n">
        <x:v>1</x:v>
      </x:c>
      <x:c r="G11" t="n">
        <x:v>1</x:v>
      </x:c>
      <x:c r="H11" t="n">
        <x:v>1</x:v>
      </x:c>
      <x:c r="I11" t="n">
        <x:v>1</x:v>
      </x:c>
      <x:c r="J11" t="n">
        <x:v>1</x:v>
      </x:c>
      <x:c r="K11" t="n">
        <x:v>1</x:v>
      </x:c>
      <x:c r="L11" t="n">
        <x:v>0</x:v>
      </x:c>
    </x:row>
    <x:row r="12">
      <x:c r="A12" t="str">
        <x:v>JAN009</x:v>
      </x:c>
      <x:c r="B12" t="str">
        <x:v>Drew Wilson</x:v>
      </x:c>
      <x:c r="C12" t="str">
        <x:v>Cleaner</x:v>
      </x:c>
      <x:c r="D12" s="28" t="n">
        <x:v>17.25</x:v>
      </x:c>
      <x:c r="E12" t="str">
        <x:v>4490 Oak St, Grand Prairie, TX</x:v>
      </x:c>
      <x:c r="F12" t="n">
        <x:v>0</x:v>
      </x:c>
      <x:c r="G12" t="n">
        <x:v>1</x:v>
      </x:c>
      <x:c r="H12" t="n">
        <x:v>1</x:v>
      </x:c>
      <x:c r="I12" t="n">
        <x:v>1</x:v>
      </x:c>
      <x:c r="J12" t="n">
        <x:v>1</x:v>
      </x:c>
      <x:c r="K12" t="n">
        <x:v>1</x:v>
      </x:c>
      <x:c r="L12" t="n">
        <x:v>0</x:v>
      </x:c>
    </x:row>
    <x:row r="13">
      <x:c r="A13" t="str">
        <x:v>JAN010</x:v>
      </x:c>
      <x:c r="B13" t="str">
        <x:v>Avery Davis</x:v>
      </x:c>
      <x:c r="C13" t="str">
        <x:v>Cleaner</x:v>
      </x:c>
      <x:c r="D13" s="28" t="n">
        <x:v>17.5</x:v>
      </x:c>
      <x:c r="E13" t="str">
        <x:v>2815 Oak St, Denton, TX</x:v>
      </x:c>
      <x:c r="F13" t="n">
        <x:v>1</x:v>
      </x:c>
      <x:c r="G13" t="n">
        <x:v>1</x:v>
      </x:c>
      <x:c r="H13" t="n">
        <x:v>0</x:v>
      </x:c>
      <x:c r="I13" t="n">
        <x:v>0</x:v>
      </x:c>
      <x:c r="J13" t="n">
        <x:v>1</x:v>
      </x:c>
      <x:c r="K13" t="n">
        <x:v>1</x:v>
      </x:c>
      <x:c r="L13" t="n">
        <x:v>1</x:v>
      </x:c>
    </x:row>
    <x:row r="14">
      <x:c r="A14" t="str">
        <x:v>LD011</x:v>
      </x:c>
      <x:c r="B14" t="str">
        <x:v>Sam Thomas</x:v>
      </x:c>
      <x:c r="C14" t="str">
        <x:v>Lead</x:v>
      </x:c>
      <x:c r="D14" s="28" t="n">
        <x:v>19.25</x:v>
      </x:c>
      <x:c r="E14" t="str">
        <x:v>4025 Oak St, Mesquite, TX</x:v>
      </x:c>
      <x:c r="F14" t="n">
        <x:v>1</x:v>
      </x:c>
      <x:c r="G14" t="n">
        <x:v>1</x:v>
      </x:c>
      <x:c r="H14" t="n">
        <x:v>1</x:v>
      </x:c>
      <x:c r="I14" t="n">
        <x:v>1</x:v>
      </x:c>
      <x:c r="J14" t="n">
        <x:v>0</x:v>
      </x:c>
      <x:c r="K14" t="n">
        <x:v>1</x:v>
      </x:c>
      <x:c r="L14" t="n">
        <x:v>1</x:v>
      </x:c>
    </x:row>
    <x:row r="15">
      <x:c r="A15" t="str">
        <x:v>LD012</x:v>
      </x:c>
      <x:c r="B15" t="str">
        <x:v>Parker Moore</x:v>
      </x:c>
      <x:c r="C15" t="str">
        <x:v>Lead</x:v>
      </x:c>
      <x:c r="D15" s="28" t="n">
        <x:v>19.25</x:v>
      </x:c>
      <x:c r="E15" t="str">
        <x:v>2435 Oak St, Richardson, TX</x:v>
      </x:c>
      <x:c r="F15" t="n">
        <x:v>0</x:v>
      </x:c>
      <x:c r="G15" t="n">
        <x:v>1</x:v>
      </x:c>
      <x:c r="H15" t="n">
        <x:v>1</x:v>
      </x:c>
      <x:c r="I15" t="n">
        <x:v>1</x:v>
      </x:c>
      <x:c r="J15" t="n">
        <x:v>1</x:v>
      </x:c>
      <x:c r="K15" t="n">
        <x:v>1</x:v>
      </x:c>
      <x:c r="L15" t="n">
        <x:v>1</x:v>
      </x:c>
    </x:row>
  </x:sheetData>
  <x:dataValidations count="7">
    <x:dataValidation type="list" sqref="F4:F60">
      <x:formula1>"1,0"</x:formula1>
    </x:dataValidation>
    <x:dataValidation type="list" sqref="G4:G60">
      <x:formula1>"1,0"</x:formula1>
    </x:dataValidation>
    <x:dataValidation type="list" sqref="H4:H60">
      <x:formula1>"1,0"</x:formula1>
    </x:dataValidation>
    <x:dataValidation type="list" sqref="I4:I60">
      <x:formula1>"1,0"</x:formula1>
    </x:dataValidation>
    <x:dataValidation type="list" sqref="J4:J60">
      <x:formula1>"1,0"</x:formula1>
    </x:dataValidation>
    <x:dataValidation type="list" sqref="K4:K60">
      <x:formula1>"1,0"</x:formula1>
    </x:dataValidation>
    <x:dataValidation type="list" sqref="L4:L60">
      <x:formula1>"1,0"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80b2ee747c402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46" t="str">
        <x:v>Supply Catalog and Usage Model</x:v>
      </x:c>
      <x:c r="B1" s="46" t="str"/>
      <x:c r="C1" s="46" t="str"/>
      <x:c r="D1" s="46" t="str"/>
      <x:c r="E1" s="46" t="str"/>
      <x:c r="F1" s="46" t="str"/>
      <x:c r="G1" s="46" t="str"/>
      <x:c r="H1" s="46" t="str"/>
      <x:c r="I1" s="46" t="str"/>
      <x:c r="J1" s="46" t="str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3">
      <x:c r="A3" s="24" t="str">
        <x:v>Item ID</x:v>
      </x:c>
      <x:c r="B3" s="24" t="str">
        <x:v>Item</x:v>
      </x:c>
      <x:c r="C3" s="24" t="str">
        <x:v>Category</x:v>
      </x:c>
      <x:c r="D3" s="24" t="str">
        <x:v>Unit</x:v>
      </x:c>
      <x:c r="E3" s="24" t="str">
        <x:v>Base Usage/Visit</x:v>
      </x:c>
      <x:c r="F3" s="24" t="str">
        <x:v>SqFt Usage Factor</x:v>
      </x:c>
      <x:c r="G3" s="24" t="str">
        <x:v>Headcount Factor</x:v>
      </x:c>
      <x:c r="H3" s="24" t="str">
        <x:v>Safety Stock %</x:v>
      </x:c>
      <x:c r="I3" s="24" t="str">
        <x:v>Preferred Vendor</x:v>
      </x:c>
      <x:c r="J3" s="24" t="str">
        <x:v>Notes</x:v>
      </x:c>
    </x:row>
    <x:row r="4">
      <x:c r="A4" t="str">
        <x:v>SUP001</x:v>
      </x:c>
      <x:c r="B4" t="str">
        <x:v>Trash Liners 55 Gal</x:v>
      </x:c>
      <x:c r="C4" t="str">
        <x:v>Consumable</x:v>
      </x:c>
      <x:c r="D4" t="str">
        <x:v>case</x:v>
      </x:c>
      <x:c r="E4" s="30" t="n">
        <x:v>0.18</x:v>
      </x:c>
      <x:c r="F4" s="30" t="n">
        <x:v>0.000015</x:v>
      </x:c>
      <x:c r="G4" s="30" t="n">
        <x:v>0.05</x:v>
      </x:c>
      <x:c r="H4" s="30" t="n">
        <x:v>0.25</x:v>
      </x:c>
      <x:c r="I4" t="str">
        <x:v>CleanCo Supply</x:v>
      </x:c>
      <x:c r="J4" t="str">
        <x:v>Used across most accounts</x:v>
      </x:c>
    </x:row>
    <x:row r="5">
      <x:c r="A5" t="str">
        <x:v>SUP002</x:v>
      </x:c>
      <x:c r="B5" t="str">
        <x:v>Nitrile Gloves</x:v>
      </x:c>
      <x:c r="C5" t="str">
        <x:v>Consumable</x:v>
      </x:c>
      <x:c r="D5" t="str">
        <x:v>box</x:v>
      </x:c>
      <x:c r="E5" s="30" t="n">
        <x:v>0.45</x:v>
      </x:c>
      <x:c r="F5" s="30" t="n">
        <x:v>0.000005</x:v>
      </x:c>
      <x:c r="G5" s="30" t="n">
        <x:v>0.1</x:v>
      </x:c>
      <x:c r="H5" s="30" t="n">
        <x:v>0.3</x:v>
      </x:c>
      <x:c r="I5" t="str">
        <x:v>Facility Depot</x:v>
      </x:c>
      <x:c r="J5" t="str">
        <x:v>Higher use on restroom-heavy sites</x:v>
      </x:c>
    </x:row>
    <x:row r="6">
      <x:c r="A6" t="str">
        <x:v>SUP003</x:v>
      </x:c>
      <x:c r="B6" t="str">
        <x:v>Disinfectant Concentrate</x:v>
      </x:c>
      <x:c r="C6" t="str">
        <x:v>Chemical</x:v>
      </x:c>
      <x:c r="D6" t="str">
        <x:v>gallon</x:v>
      </x:c>
      <x:c r="E6" s="30" t="n">
        <x:v>0.12</x:v>
      </x:c>
      <x:c r="F6" s="30" t="n">
        <x:v>0.00002</x:v>
      </x:c>
      <x:c r="G6" s="30" t="n">
        <x:v>0.04</x:v>
      </x:c>
      <x:c r="H6" s="30" t="n">
        <x:v>0.35</x:v>
      </x:c>
      <x:c r="I6" t="str">
        <x:v>Janitorial Direct</x:v>
      </x:c>
      <x:c r="J6" t="str">
        <x:v>Core chemical</x:v>
      </x:c>
    </x:row>
    <x:row r="7">
      <x:c r="A7" t="str">
        <x:v>SUP004</x:v>
      </x:c>
      <x:c r="B7" t="str">
        <x:v>Glass Cleaner</x:v>
      </x:c>
      <x:c r="C7" t="str">
        <x:v>Chemical</x:v>
      </x:c>
      <x:c r="D7" t="str">
        <x:v>gallon</x:v>
      </x:c>
      <x:c r="E7" s="30" t="n">
        <x:v>0.08</x:v>
      </x:c>
      <x:c r="F7" s="30" t="n">
        <x:v>0.00001</x:v>
      </x:c>
      <x:c r="G7" s="30" t="n">
        <x:v>0.03</x:v>
      </x:c>
      <x:c r="H7" s="30" t="n">
        <x:v>0.2</x:v>
      </x:c>
      <x:c r="I7" t="str">
        <x:v>CleanCo Supply</x:v>
      </x:c>
      <x:c r="J7" t="str">
        <x:v>Office-heavy use</x:v>
      </x:c>
    </x:row>
    <x:row r="8">
      <x:c r="A8" t="str">
        <x:v>SUP005</x:v>
      </x:c>
      <x:c r="B8" t="str">
        <x:v>Paper Towels</x:v>
      </x:c>
      <x:c r="C8" t="str">
        <x:v>Restroom</x:v>
      </x:c>
      <x:c r="D8" t="str">
        <x:v>case</x:v>
      </x:c>
      <x:c r="E8" s="30" t="n">
        <x:v>0.2</x:v>
      </x:c>
      <x:c r="F8" s="30" t="n">
        <x:v>0.00002</x:v>
      </x:c>
      <x:c r="G8" s="30" t="n">
        <x:v>0.04</x:v>
      </x:c>
      <x:c r="H8" s="30" t="n">
        <x:v>0.3</x:v>
      </x:c>
      <x:c r="I8" t="str">
        <x:v>Facility Depot</x:v>
      </x:c>
      <x:c r="J8" t="str">
        <x:v>Restroom support</x:v>
      </x:c>
    </x:row>
    <x:row r="9">
      <x:c r="A9" t="str">
        <x:v>SUP006</x:v>
      </x:c>
      <x:c r="B9" t="str">
        <x:v>Toilet Tissue</x:v>
      </x:c>
      <x:c r="C9" t="str">
        <x:v>Restroom</x:v>
      </x:c>
      <x:c r="D9" t="str">
        <x:v>case</x:v>
      </x:c>
      <x:c r="E9" s="30" t="n">
        <x:v>0.16</x:v>
      </x:c>
      <x:c r="F9" s="30" t="n">
        <x:v>0.000018</x:v>
      </x:c>
      <x:c r="G9" s="30" t="n">
        <x:v>0.04</x:v>
      </x:c>
      <x:c r="H9" s="30" t="n">
        <x:v>0.3</x:v>
      </x:c>
      <x:c r="I9" t="str">
        <x:v>Facility Depot</x:v>
      </x:c>
      <x:c r="J9" t="str">
        <x:v>Restroom support</x:v>
      </x:c>
    </x:row>
    <x:row r="10">
      <x:c r="A10" t="str">
        <x:v>SUP007</x:v>
      </x:c>
      <x:c r="B10" t="str">
        <x:v>Microfiber Towels</x:v>
      </x:c>
      <x:c r="C10" t="str">
        <x:v>Reusable</x:v>
      </x:c>
      <x:c r="D10" t="str">
        <x:v>pack</x:v>
      </x:c>
      <x:c r="E10" s="30" t="n">
        <x:v>0.06</x:v>
      </x:c>
      <x:c r="F10" s="30" t="n">
        <x:v>0.000006</x:v>
      </x:c>
      <x:c r="G10" s="30" t="n">
        <x:v>0.05</x:v>
      </x:c>
      <x:c r="H10" s="30" t="n">
        <x:v>0.2</x:v>
      </x:c>
      <x:c r="I10" t="str">
        <x:v>CleanCo Supply</x:v>
      </x:c>
      <x:c r="J10" t="str">
        <x:v>Reusable but needs replacement</x:v>
      </x:c>
    </x:row>
    <x:row r="11">
      <x:c r="A11" t="str">
        <x:v>SUP008</x:v>
      </x:c>
      <x:c r="B11" t="str">
        <x:v>Mop Heads</x:v>
      </x:c>
      <x:c r="C11" t="str">
        <x:v>Reusable</x:v>
      </x:c>
      <x:c r="D11" t="str">
        <x:v>each</x:v>
      </x:c>
      <x:c r="E11" s="30" t="n">
        <x:v>0.04</x:v>
      </x:c>
      <x:c r="F11" s="30" t="n">
        <x:v>0.000004</x:v>
      </x:c>
      <x:c r="G11" s="30" t="n">
        <x:v>0.02</x:v>
      </x:c>
      <x:c r="H11" s="30" t="n">
        <x:v>0.2</x:v>
      </x:c>
      <x:c r="I11" t="str">
        <x:v>Janitorial Direct</x:v>
      </x:c>
      <x:c r="J11" t="str">
        <x:v>Floor care</x:v>
      </x:c>
    </x:row>
    <x:row r="12">
      <x:c r="A12" t="str">
        <x:v>SUP009</x:v>
      </x:c>
      <x:c r="B12" t="str">
        <x:v>Floor Cleaner</x:v>
      </x:c>
      <x:c r="C12" t="str">
        <x:v>Chemical</x:v>
      </x:c>
      <x:c r="D12" t="str">
        <x:v>gallon</x:v>
      </x:c>
      <x:c r="E12" s="30" t="n">
        <x:v>0.1</x:v>
      </x:c>
      <x:c r="F12" s="30" t="n">
        <x:v>0.000018</x:v>
      </x:c>
      <x:c r="G12" s="30" t="n">
        <x:v>0.04</x:v>
      </x:c>
      <x:c r="H12" s="30" t="n">
        <x:v>0.25</x:v>
      </x:c>
      <x:c r="I12" t="str">
        <x:v>Janitorial Direct</x:v>
      </x:c>
      <x:c r="J12" t="str">
        <x:v>Schools/industrial higher use</x:v>
      </x:c>
    </x:row>
    <x:row r="13">
      <x:c r="A13" t="str">
        <x:v>SUP010</x:v>
      </x:c>
      <x:c r="B13" t="str">
        <x:v>Hand Soap Refill</x:v>
      </x:c>
      <x:c r="C13" t="str">
        <x:v>Restroom</x:v>
      </x:c>
      <x:c r="D13" t="str">
        <x:v>case</x:v>
      </x:c>
      <x:c r="E13" s="30" t="n">
        <x:v>0.1</x:v>
      </x:c>
      <x:c r="F13" s="30" t="n">
        <x:v>0.000012</x:v>
      </x:c>
      <x:c r="G13" s="30" t="n">
        <x:v>0.03</x:v>
      </x:c>
      <x:c r="H13" s="30" t="n">
        <x:v>0.25</x:v>
      </x:c>
      <x:c r="I13" t="str">
        <x:v>Facility Depot</x:v>
      </x:c>
      <x:c r="J13" t="str">
        <x:v>Customer-facing restrooms</x:v>
      </x:c>
    </x:row>
  </x:sheetData>
  <x:pageMargins left="0.7" right="0.7" top="0.75" bottom="0.75" header="0.3" footer="0.3"/>
  <x:tableParts count="1">
    <x:tablePart xmlns:r="http://schemas.openxmlformats.org/officeDocument/2006/relationships" r:id="R34486dc51985419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46" t="str">
        <x:v>Inventory Control</x:v>
      </x:c>
      <x:c r="B1" s="46" t="str"/>
      <x:c r="C1" s="46" t="str"/>
      <x:c r="D1" s="46" t="str"/>
      <x:c r="E1" s="46" t="str"/>
      <x:c r="F1" s="46" t="str"/>
      <x:c r="G1" s="46" t="str"/>
      <x:c r="H1" s="46" t="str"/>
      <x:c r="I1" s="46" t="str"/>
      <x:c r="J1" s="46" t="str"/>
      <x:c r="K1" s="46" t="str"/>
      <x:c r="L1" s="46" t="str"/>
      <x:c r="M1" s="46" t="str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3">
      <x:c r="A3" s="24" t="str">
        <x:v>Item ID</x:v>
      </x:c>
      <x:c r="B3" s="24" t="str">
        <x:v>Item</x:v>
      </x:c>
      <x:c r="C3" s="24" t="str">
        <x:v>Category</x:v>
      </x:c>
      <x:c r="D3" s="24" t="str">
        <x:v>Unit</x:v>
      </x:c>
      <x:c r="E3" s="24" t="str">
        <x:v>Current Stock</x:v>
      </x:c>
      <x:c r="F3" s="24" t="str">
        <x:v>Min Stock</x:v>
      </x:c>
      <x:c r="G3" s="24" t="str">
        <x:v>Max Stock</x:v>
      </x:c>
      <x:c r="H3" s="24" t="str">
        <x:v>Weekly Forecast</x:v>
      </x:c>
      <x:c r="I3" s="24" t="str">
        <x:v>Reorder Point</x:v>
      </x:c>
      <x:c r="J3" s="24" t="str">
        <x:v>Suggested Order Qty</x:v>
      </x:c>
      <x:c r="K3" s="24" t="str">
        <x:v>Status</x:v>
      </x:c>
      <x:c r="L3" s="24" t="str">
        <x:v>Last Count Date</x:v>
      </x:c>
      <x:c r="M3" s="24" t="str">
        <x:v>Manager Notes</x:v>
      </x:c>
    </x:row>
    <x:row r="4">
      <x:c r="A4" t="str">
        <x:v>SUP001</x:v>
      </x:c>
      <x:c r="B4" t="str">
        <x:v>Trash Liners 55 Gal</x:v>
      </x:c>
      <x:c r="C4" t="str">
        <x:v>Consumable</x:v>
      </x:c>
      <x:c r="D4" t="str">
        <x:v>case</x:v>
      </x:c>
      <x:c r="E4" s="32" t="n">
        <x:v>28</x:v>
      </x:c>
      <x:c r="F4" s="32" t="n">
        <x:v>22</x:v>
      </x:c>
      <x:c r="G4" s="32" t="n">
        <x:v>66</x:v>
      </x:c>
      <x:c r="H4" s="32" t="n">
        <x:f>IFERROR(SUMIFS('Supply Forecast'!$J$4:$J$123,'Supply Forecast'!$B$4:$B$123,A4),0)</x:f>
        <x:v>45.99999999999999</x:v>
      </x:c>
      <x:c r="I4" s="32" t="n">
        <x:f>ROUNDUP(F4+(H4*1.5),0)</x:f>
        <x:v>91</x:v>
      </x:c>
      <x:c r="J4" s="32" t="n">
        <x:f>MAX(0,ROUNDUP(G4-E4,0))</x:f>
        <x:v>38</x:v>
      </x:c>
      <x:c r="K4" t="str">
        <x:f>IF(E4&lt;=I4,"ORDER",IF(E4&lt;=F4,"WATCH","OK"))</x:f>
        <x:v>ORDER</x:v>
      </x:c>
      <x:c r="L4" s="26" t="n">
        <x:v>46147</x:v>
      </x:c>
      <x:c r="M4" t="str"/>
    </x:row>
    <x:row r="5">
      <x:c r="A5" t="str">
        <x:v>SUP002</x:v>
      </x:c>
      <x:c r="B5" t="str">
        <x:v>Nitrile Gloves</x:v>
      </x:c>
      <x:c r="C5" t="str">
        <x:v>Consumable</x:v>
      </x:c>
      <x:c r="D5" t="str">
        <x:v>box</x:v>
      </x:c>
      <x:c r="E5" s="32" t="n">
        <x:v>45</x:v>
      </x:c>
      <x:c r="F5" s="32" t="n">
        <x:v>40</x:v>
      </x:c>
      <x:c r="G5" s="32" t="n">
        <x:v>120</x:v>
      </x:c>
      <x:c r="H5" s="32" t="n">
        <x:f>IFERROR(SUMIFS('Supply Forecast'!$J$4:$J$123,'Supply Forecast'!$B$4:$B$123,A5),0)</x:f>
        <x:v>60.800000000000004</x:v>
      </x:c>
      <x:c r="I5" s="32" t="n">
        <x:f>ROUNDUP(F5+(H5*1.5),0)</x:f>
        <x:v>132</x:v>
      </x:c>
      <x:c r="J5" s="32" t="n">
        <x:f>MAX(0,ROUNDUP(G5-E5,0))</x:f>
        <x:v>75</x:v>
      </x:c>
      <x:c r="K5" t="str">
        <x:f>IF(E5&lt;=I5,"ORDER",IF(E5&lt;=F5,"WATCH","OK"))</x:f>
        <x:v>ORDER</x:v>
      </x:c>
      <x:c r="L5" s="26" t="n">
        <x:v>46147</x:v>
      </x:c>
      <x:c r="M5" t="str"/>
    </x:row>
    <x:row r="6">
      <x:c r="A6" t="str">
        <x:v>SUP003</x:v>
      </x:c>
      <x:c r="B6" t="str">
        <x:v>Disinfectant Concentrate</x:v>
      </x:c>
      <x:c r="C6" t="str">
        <x:v>Chemical</x:v>
      </x:c>
      <x:c r="D6" t="str">
        <x:v>gallon</x:v>
      </x:c>
      <x:c r="E6" s="32" t="n">
        <x:v>14</x:v>
      </x:c>
      <x:c r="F6" s="32" t="n">
        <x:v>12</x:v>
      </x:c>
      <x:c r="G6" s="32" t="n">
        <x:v>36</x:v>
      </x:c>
      <x:c r="H6" s="32" t="n">
        <x:f>IFERROR(SUMIFS('Supply Forecast'!$J$4:$J$123,'Supply Forecast'!$B$4:$B$123,A6),0)</x:f>
        <x:v>47.4</x:v>
      </x:c>
      <x:c r="I6" s="32" t="n">
        <x:f>ROUNDUP(F6+(H6*1.5),0)</x:f>
        <x:v>84</x:v>
      </x:c>
      <x:c r="J6" s="32" t="n">
        <x:f>MAX(0,ROUNDUP(G6-E6,0))</x:f>
        <x:v>22</x:v>
      </x:c>
      <x:c r="K6" t="str">
        <x:f>IF(E6&lt;=I6,"ORDER",IF(E6&lt;=F6,"WATCH","OK"))</x:f>
        <x:v>ORDER</x:v>
      </x:c>
      <x:c r="L6" s="26" t="n">
        <x:v>46147</x:v>
      </x:c>
      <x:c r="M6" t="str"/>
    </x:row>
    <x:row r="7">
      <x:c r="A7" t="str">
        <x:v>SUP004</x:v>
      </x:c>
      <x:c r="B7" t="str">
        <x:v>Glass Cleaner</x:v>
      </x:c>
      <x:c r="C7" t="str">
        <x:v>Chemical</x:v>
      </x:c>
      <x:c r="D7" t="str">
        <x:v>gallon</x:v>
      </x:c>
      <x:c r="E7" s="32" t="n">
        <x:v>12</x:v>
      </x:c>
      <x:c r="F7" s="32" t="n">
        <x:v>8</x:v>
      </x:c>
      <x:c r="G7" s="32" t="n">
        <x:v>24</x:v>
      </x:c>
      <x:c r="H7" s="32" t="n">
        <x:f>IFERROR(SUMIFS('Supply Forecast'!$J$4:$J$123,'Supply Forecast'!$B$4:$B$123,A7),0)</x:f>
        <x:v>26.7</x:v>
      </x:c>
      <x:c r="I7" s="32" t="n">
        <x:f>ROUNDUP(F7+(H7*1.5),0)</x:f>
        <x:v>49</x:v>
      </x:c>
      <x:c r="J7" s="32" t="n">
        <x:f>MAX(0,ROUNDUP(G7-E7,0))</x:f>
        <x:v>12</x:v>
      </x:c>
      <x:c r="K7" t="str">
        <x:f>IF(E7&lt;=I7,"ORDER",IF(E7&lt;=F7,"WATCH","OK"))</x:f>
        <x:v>ORDER</x:v>
      </x:c>
      <x:c r="L7" s="26" t="n">
        <x:v>46147</x:v>
      </x:c>
      <x:c r="M7" t="str"/>
    </x:row>
    <x:row r="8">
      <x:c r="A8" t="str">
        <x:v>SUP005</x:v>
      </x:c>
      <x:c r="B8" t="str">
        <x:v>Paper Towels</x:v>
      </x:c>
      <x:c r="C8" t="str">
        <x:v>Restroom</x:v>
      </x:c>
      <x:c r="D8" t="str">
        <x:v>case</x:v>
      </x:c>
      <x:c r="E8" s="32" t="n">
        <x:v>18</x:v>
      </x:c>
      <x:c r="F8" s="32" t="n">
        <x:v>14</x:v>
      </x:c>
      <x:c r="G8" s="32" t="n">
        <x:v>42</x:v>
      </x:c>
      <x:c r="H8" s="32" t="n">
        <x:f>IFERROR(SUMIFS('Supply Forecast'!$J$4:$J$123,'Supply Forecast'!$B$4:$B$123,A8),0)</x:f>
        <x:v>54.79999999999999</x:v>
      </x:c>
      <x:c r="I8" s="32" t="n">
        <x:f>ROUNDUP(F8+(H8*1.5),0)</x:f>
        <x:v>97</x:v>
      </x:c>
      <x:c r="J8" s="32" t="n">
        <x:f>MAX(0,ROUNDUP(G8-E8,0))</x:f>
        <x:v>24</x:v>
      </x:c>
      <x:c r="K8" t="str">
        <x:f>IF(E8&lt;=I8,"ORDER",IF(E8&lt;=F8,"WATCH","OK"))</x:f>
        <x:v>ORDER</x:v>
      </x:c>
      <x:c r="L8" s="26" t="n">
        <x:v>46147</x:v>
      </x:c>
      <x:c r="M8" t="str"/>
    </x:row>
    <x:row r="9">
      <x:c r="A9" t="str">
        <x:v>SUP006</x:v>
      </x:c>
      <x:c r="B9" t="str">
        <x:v>Toilet Tissue</x:v>
      </x:c>
      <x:c r="C9" t="str">
        <x:v>Restroom</x:v>
      </x:c>
      <x:c r="D9" t="str">
        <x:v>case</x:v>
      </x:c>
      <x:c r="E9" s="32" t="n">
        <x:v>16</x:v>
      </x:c>
      <x:c r="F9" s="32" t="n">
        <x:v>12</x:v>
      </x:c>
      <x:c r="G9" s="32" t="n">
        <x:v>36</x:v>
      </x:c>
      <x:c r="H9" s="32" t="n">
        <x:f>IFERROR(SUMIFS('Supply Forecast'!$J$4:$J$123,'Supply Forecast'!$B$4:$B$123,A9),0)</x:f>
        <x:v>47.9</x:v>
      </x:c>
      <x:c r="I9" s="32" t="n">
        <x:f>ROUNDUP(F9+(H9*1.5),0)</x:f>
        <x:v>84</x:v>
      </x:c>
      <x:c r="J9" s="32" t="n">
        <x:f>MAX(0,ROUNDUP(G9-E9,0))</x:f>
        <x:v>20</x:v>
      </x:c>
      <x:c r="K9" t="str">
        <x:f>IF(E9&lt;=I9,"ORDER",IF(E9&lt;=F9,"WATCH","OK"))</x:f>
        <x:v>ORDER</x:v>
      </x:c>
      <x:c r="L9" s="26" t="n">
        <x:v>46147</x:v>
      </x:c>
      <x:c r="M9" t="str"/>
    </x:row>
    <x:row r="10">
      <x:c r="A10" t="str">
        <x:v>SUP007</x:v>
      </x:c>
      <x:c r="B10" t="str">
        <x:v>Microfiber Towels</x:v>
      </x:c>
      <x:c r="C10" t="str">
        <x:v>Reusable</x:v>
      </x:c>
      <x:c r="D10" t="str">
        <x:v>pack</x:v>
      </x:c>
      <x:c r="E10" s="32" t="n">
        <x:v>20</x:v>
      </x:c>
      <x:c r="F10" s="32" t="n">
        <x:v>10</x:v>
      </x:c>
      <x:c r="G10" s="32" t="n">
        <x:v>30</x:v>
      </x:c>
      <x:c r="H10" s="32" t="n">
        <x:f>IFERROR(SUMIFS('Supply Forecast'!$J$4:$J$123,'Supply Forecast'!$B$4:$B$123,A10),0)</x:f>
        <x:v>21.200000000000003</x:v>
      </x:c>
      <x:c r="I10" s="32" t="n">
        <x:f>ROUNDUP(F10+(H10*1.5),0)</x:f>
        <x:v>42</x:v>
      </x:c>
      <x:c r="J10" s="32" t="n">
        <x:f>MAX(0,ROUNDUP(G10-E10,0))</x:f>
        <x:v>10</x:v>
      </x:c>
      <x:c r="K10" t="str">
        <x:f>IF(E10&lt;=I10,"ORDER",IF(E10&lt;=F10,"WATCH","OK"))</x:f>
        <x:v>ORDER</x:v>
      </x:c>
      <x:c r="L10" s="26" t="n">
        <x:v>46147</x:v>
      </x:c>
      <x:c r="M10" t="str"/>
    </x:row>
    <x:row r="11">
      <x:c r="A11" t="str">
        <x:v>SUP008</x:v>
      </x:c>
      <x:c r="B11" t="str">
        <x:v>Mop Heads</x:v>
      </x:c>
      <x:c r="C11" t="str">
        <x:v>Reusable</x:v>
      </x:c>
      <x:c r="D11" t="str">
        <x:v>each</x:v>
      </x:c>
      <x:c r="E11" s="32" t="n">
        <x:v>13</x:v>
      </x:c>
      <x:c r="F11" s="32" t="n">
        <x:v>8</x:v>
      </x:c>
      <x:c r="G11" s="32" t="n">
        <x:v>24</x:v>
      </x:c>
      <x:c r="H11" s="32" t="n">
        <x:f>IFERROR(SUMIFS('Supply Forecast'!$J$4:$J$123,'Supply Forecast'!$B$4:$B$123,A11),0)</x:f>
        <x:v>12.8</x:v>
      </x:c>
      <x:c r="I11" s="32" t="n">
        <x:f>ROUNDUP(F11+(H11*1.5),0)</x:f>
        <x:v>28</x:v>
      </x:c>
      <x:c r="J11" s="32" t="n">
        <x:f>MAX(0,ROUNDUP(G11-E11,0))</x:f>
        <x:v>11</x:v>
      </x:c>
      <x:c r="K11" t="str">
        <x:f>IF(E11&lt;=I11,"ORDER",IF(E11&lt;=F11,"WATCH","OK"))</x:f>
        <x:v>ORDER</x:v>
      </x:c>
      <x:c r="L11" s="26" t="n">
        <x:v>46147</x:v>
      </x:c>
      <x:c r="M11" t="str"/>
    </x:row>
    <x:row r="12">
      <x:c r="A12" t="str">
        <x:v>SUP009</x:v>
      </x:c>
      <x:c r="B12" t="str">
        <x:v>Floor Cleaner</x:v>
      </x:c>
      <x:c r="C12" t="str">
        <x:v>Chemical</x:v>
      </x:c>
      <x:c r="D12" t="str">
        <x:v>gallon</x:v>
      </x:c>
      <x:c r="E12" s="32" t="n">
        <x:v>10</x:v>
      </x:c>
      <x:c r="F12" s="32" t="n">
        <x:v>10</x:v>
      </x:c>
      <x:c r="G12" s="32" t="n">
        <x:v>30</x:v>
      </x:c>
      <x:c r="H12" s="32" t="n">
        <x:f>IFERROR(SUMIFS('Supply Forecast'!$J$4:$J$123,'Supply Forecast'!$B$4:$B$123,A12),0)</x:f>
        <x:v>42.50000000000001</x:v>
      </x:c>
      <x:c r="I12" s="32" t="n">
        <x:f>ROUNDUP(F12+(H12*1.5),0)</x:f>
        <x:v>74</x:v>
      </x:c>
      <x:c r="J12" s="32" t="n">
        <x:f>MAX(0,ROUNDUP(G12-E12,0))</x:f>
        <x:v>20</x:v>
      </x:c>
      <x:c r="K12" t="str">
        <x:f>IF(E12&lt;=I12,"ORDER",IF(E12&lt;=F12,"WATCH","OK"))</x:f>
        <x:v>ORDER</x:v>
      </x:c>
      <x:c r="L12" s="26" t="n">
        <x:v>46147</x:v>
      </x:c>
      <x:c r="M12" t="str"/>
    </x:row>
    <x:row r="13">
      <x:c r="A13" t="str">
        <x:v>SUP010</x:v>
      </x:c>
      <x:c r="B13" t="str">
        <x:v>Hand Soap Refill</x:v>
      </x:c>
      <x:c r="C13" t="str">
        <x:v>Restroom</x:v>
      </x:c>
      <x:c r="D13" t="str">
        <x:v>case</x:v>
      </x:c>
      <x:c r="E13" s="32" t="n">
        <x:v>11</x:v>
      </x:c>
      <x:c r="F13" s="32" t="n">
        <x:v>8</x:v>
      </x:c>
      <x:c r="G13" s="32" t="n">
        <x:v>24</x:v>
      </x:c>
      <x:c r="H13" s="32" t="n">
        <x:f>IFERROR(SUMIFS('Supply Forecast'!$J$4:$J$123,'Supply Forecast'!$B$4:$B$123,A13),0)</x:f>
        <x:v>31.900000000000002</x:v>
      </x:c>
      <x:c r="I13" s="32" t="n">
        <x:f>ROUNDUP(F13+(H13*1.5),0)</x:f>
        <x:v>56</x:v>
      </x:c>
      <x:c r="J13" s="32" t="n">
        <x:f>MAX(0,ROUNDUP(G13-E13,0))</x:f>
        <x:v>13</x:v>
      </x:c>
      <x:c r="K13" t="str">
        <x:f>IF(E13&lt;=I13,"ORDER",IF(E13&lt;=F13,"WATCH","OK"))</x:f>
        <x:v>ORDER</x:v>
      </x:c>
      <x:c r="L13" s="26" t="n">
        <x:v>46147</x:v>
      </x:c>
      <x:c r="M13" t="str"/>
    </x:row>
  </x:sheetData>
  <x:conditionalFormatting sqref="K4:K60">
    <x:cfRule type="expression" dxfId="0" priority="1">
      <x:formula>K4="ORDER"</x:formula>
    </x:cfRule>
    <x:cfRule type="expression" dxfId="1" priority="2">
      <x:formula>K4="WATCH"</x:formula>
    </x:cfRule>
    <x:cfRule type="expression" dxfId="2" priority="3">
      <x:formula>K4="OK"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e5c8eb193344b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46" t="str">
        <x:v>Vendor Scorecard</x:v>
      </x:c>
      <x:c r="B1" s="46" t="str"/>
      <x:c r="C1" s="46" t="str"/>
      <x:c r="D1" s="46" t="str"/>
      <x:c r="E1" s="46" t="str"/>
      <x:c r="F1" s="46" t="str"/>
      <x:c r="G1" s="46" t="str"/>
      <x:c r="H1" s="46" t="str"/>
      <x:c r="I1" s="46" t="str"/>
      <x:c r="J1" s="46" t="str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3">
      <x:c r="A3" s="24" t="str">
        <x:v>Vendor</x:v>
      </x:c>
      <x:c r="B3" s="24" t="str">
        <x:v>Item ID</x:v>
      </x:c>
      <x:c r="C3" s="24" t="str">
        <x:v>Item</x:v>
      </x:c>
      <x:c r="D3" s="24" t="str">
        <x:v>Unit Cost</x:v>
      </x:c>
      <x:c r="E3" s="24" t="str">
        <x:v>Lead Time Days</x:v>
      </x:c>
      <x:c r="F3" s="24" t="str">
        <x:v>Reliability 1-10</x:v>
      </x:c>
      <x:c r="G3" s="24" t="str">
        <x:v>Delivery Score</x:v>
      </x:c>
      <x:c r="H3" s="24" t="str">
        <x:v>Cost Score</x:v>
      </x:c>
      <x:c r="I3" s="24" t="str">
        <x:v>Weighted Score</x:v>
      </x:c>
      <x:c r="J3" s="24" t="str">
        <x:v>Manager Choice</x:v>
      </x:c>
    </x:row>
    <x:row r="4">
      <x:c r="A4" t="str">
        <x:v>CleanCo Supply</x:v>
      </x:c>
      <x:c r="B4" t="str">
        <x:v>SUP001</x:v>
      </x:c>
      <x:c r="C4" t="str">
        <x:v>Trash Liners 55 Gal</x:v>
      </x:c>
      <x:c r="D4" s="28" t="n">
        <x:v>52</x:v>
      </x:c>
      <x:c r="E4" t="n">
        <x:v>3</x:v>
      </x:c>
      <x:c r="F4" t="n">
        <x:v>9</x:v>
      </x:c>
      <x:c r="G4" t="n">
        <x:f>MAX(1,11-E4)</x:f>
        <x:v>8</x:v>
      </x:c>
      <x:c r="H4" t="n">
        <x:f>IFERROR(10*MINIFS($D$4:$D$29,$B$4:$B$29,B4)/D4,0)</x:f>
        <x:v>9.423076923076923</x:v>
      </x:c>
      <x:c r="I4" s="34" t="n">
        <x:f>ROUND((H4*0.4)+(G4*0.3)+(F4*0.3),2)</x:f>
        <x:v>8.87</x:v>
      </x:c>
      <x:c r="J4" t="str">
        <x:f>IF(I4=MAXIFS($I$4:$I$29,$B$4:$B$29,B4),"Preferred","Alt")</x:f>
        <x:v>Preferred</x:v>
      </x:c>
    </x:row>
    <x:row r="5">
      <x:c r="A5" t="str">
        <x:v>Facility Depot</x:v>
      </x:c>
      <x:c r="B5" t="str">
        <x:v>SUP001</x:v>
      </x:c>
      <x:c r="C5" t="str">
        <x:v>Trash Liners 55 Gal</x:v>
      </x:c>
      <x:c r="D5" s="28" t="n">
        <x:v>49</x:v>
      </x:c>
      <x:c r="E5" t="n">
        <x:v>6</x:v>
      </x:c>
      <x:c r="F5" t="n">
        <x:v>7</x:v>
      </x:c>
      <x:c r="G5" t="n">
        <x:f>MAX(1,11-E5)</x:f>
        <x:v>5</x:v>
      </x:c>
      <x:c r="H5" t="n">
        <x:f>IFERROR(10*MINIFS($D$4:$D$29,$B$4:$B$29,B5)/D5,0)</x:f>
        <x:v>10</x:v>
      </x:c>
      <x:c r="I5" s="34" t="n">
        <x:f>ROUND((H5*0.4)+(G5*0.3)+(F5*0.3),2)</x:f>
        <x:v>7.6</x:v>
      </x:c>
      <x:c r="J5" t="str">
        <x:f>IF(I5=MAXIFS($I$4:$I$29,$B$4:$B$29,B5),"Preferred","Alt")</x:f>
        <x:v>Alt</x:v>
      </x:c>
    </x:row>
    <x:row r="6">
      <x:c r="A6" t="str">
        <x:v>Janitorial Direct</x:v>
      </x:c>
      <x:c r="B6" t="str">
        <x:v>SUP001</x:v>
      </x:c>
      <x:c r="C6" t="str">
        <x:v>Trash Liners 55 Gal</x:v>
      </x:c>
      <x:c r="D6" s="28" t="n">
        <x:v>55</x:v>
      </x:c>
      <x:c r="E6" t="n">
        <x:v>2</x:v>
      </x:c>
      <x:c r="F6" t="n">
        <x:v>8</x:v>
      </x:c>
      <x:c r="G6" t="n">
        <x:f>MAX(1,11-E6)</x:f>
        <x:v>9</x:v>
      </x:c>
      <x:c r="H6" t="n">
        <x:f>IFERROR(10*MINIFS($D$4:$D$29,$B$4:$B$29,B6)/D6,0)</x:f>
        <x:v>8.909090909090908</x:v>
      </x:c>
      <x:c r="I6" s="34" t="n">
        <x:f>ROUND((H6*0.4)+(G6*0.3)+(F6*0.3),2)</x:f>
        <x:v>8.66</x:v>
      </x:c>
      <x:c r="J6" t="str">
        <x:f>IF(I6=MAXIFS($I$4:$I$29,$B$4:$B$29,B6),"Preferred","Alt")</x:f>
        <x:v>Alt</x:v>
      </x:c>
    </x:row>
    <x:row r="7">
      <x:c r="A7" t="str">
        <x:v>Facility Depot</x:v>
      </x:c>
      <x:c r="B7" t="str">
        <x:v>SUP002</x:v>
      </x:c>
      <x:c r="C7" t="str">
        <x:v>Nitrile Gloves</x:v>
      </x:c>
      <x:c r="D7" s="28" t="n">
        <x:v>38</x:v>
      </x:c>
      <x:c r="E7" t="n">
        <x:v>4</x:v>
      </x:c>
      <x:c r="F7" t="n">
        <x:v>8</x:v>
      </x:c>
      <x:c r="G7" t="n">
        <x:f>MAX(1,11-E7)</x:f>
        <x:v>7</x:v>
      </x:c>
      <x:c r="H7" t="n">
        <x:f>IFERROR(10*MINIFS($D$4:$D$29,$B$4:$B$29,B7)/D7,0)</x:f>
        <x:v>9.473684210526315</x:v>
      </x:c>
      <x:c r="I7" s="34" t="n">
        <x:f>ROUND((H7*0.4)+(G7*0.3)+(F7*0.3),2)</x:f>
        <x:v>8.29</x:v>
      </x:c>
      <x:c r="J7" t="str">
        <x:f>IF(I7=MAXIFS($I$4:$I$29,$B$4:$B$29,B7),"Preferred","Alt")</x:f>
        <x:v>Alt</x:v>
      </x:c>
    </x:row>
    <x:row r="8">
      <x:c r="A8" t="str">
        <x:v>CleanCo Supply</x:v>
      </x:c>
      <x:c r="B8" t="str">
        <x:v>SUP002</x:v>
      </x:c>
      <x:c r="C8" t="str">
        <x:v>Nitrile Gloves</x:v>
      </x:c>
      <x:c r="D8" s="28" t="n">
        <x:v>41</x:v>
      </x:c>
      <x:c r="E8" t="n">
        <x:v>3</x:v>
      </x:c>
      <x:c r="F8" t="n">
        <x:v>9</x:v>
      </x:c>
      <x:c r="G8" t="n">
        <x:f>MAX(1,11-E8)</x:f>
        <x:v>8</x:v>
      </x:c>
      <x:c r="H8" t="n">
        <x:f>IFERROR(10*MINIFS($D$4:$D$29,$B$4:$B$29,B8)/D8,0)</x:f>
        <x:v>8.78048780487805</x:v>
      </x:c>
      <x:c r="I8" s="34" t="n">
        <x:f>ROUND((H8*0.4)+(G8*0.3)+(F8*0.3),2)</x:f>
        <x:v>8.61</x:v>
      </x:c>
      <x:c r="J8" t="str">
        <x:f>IF(I8=MAXIFS($I$4:$I$29,$B$4:$B$29,B8),"Preferred","Alt")</x:f>
        <x:v>Preferred</x:v>
      </x:c>
    </x:row>
    <x:row r="9">
      <x:c r="A9" t="str">
        <x:v>Janitorial Direct</x:v>
      </x:c>
      <x:c r="B9" t="str">
        <x:v>SUP002</x:v>
      </x:c>
      <x:c r="C9" t="str">
        <x:v>Nitrile Gloves</x:v>
      </x:c>
      <x:c r="D9" s="28" t="n">
        <x:v>36</x:v>
      </x:c>
      <x:c r="E9" t="n">
        <x:v>7</x:v>
      </x:c>
      <x:c r="F9" t="n">
        <x:v>6</x:v>
      </x:c>
      <x:c r="G9" t="n">
        <x:f>MAX(1,11-E9)</x:f>
        <x:v>4</x:v>
      </x:c>
      <x:c r="H9" t="n">
        <x:f>IFERROR(10*MINIFS($D$4:$D$29,$B$4:$B$29,B9)/D9,0)</x:f>
        <x:v>10</x:v>
      </x:c>
      <x:c r="I9" s="34" t="n">
        <x:f>ROUND((H9*0.4)+(G9*0.3)+(F9*0.3),2)</x:f>
        <x:v>7</x:v>
      </x:c>
      <x:c r="J9" t="str">
        <x:f>IF(I9=MAXIFS($I$4:$I$29,$B$4:$B$29,B9),"Preferred","Alt")</x:f>
        <x:v>Alt</x:v>
      </x:c>
    </x:row>
    <x:row r="10">
      <x:c r="A10" t="str">
        <x:v>Janitorial Direct</x:v>
      </x:c>
      <x:c r="B10" t="str">
        <x:v>SUP003</x:v>
      </x:c>
      <x:c r="C10" t="str">
        <x:v>Disinfectant Concentrate</x:v>
      </x:c>
      <x:c r="D10" s="28" t="n">
        <x:v>24</x:v>
      </x:c>
      <x:c r="E10" t="n">
        <x:v>3</x:v>
      </x:c>
      <x:c r="F10" t="n">
        <x:v>9</x:v>
      </x:c>
      <x:c r="G10" t="n">
        <x:f>MAX(1,11-E10)</x:f>
        <x:v>8</x:v>
      </x:c>
      <x:c r="H10" t="n">
        <x:f>IFERROR(10*MINIFS($D$4:$D$29,$B$4:$B$29,B10)/D10,0)</x:f>
        <x:v>9.583333333333334</x:v>
      </x:c>
      <x:c r="I10" s="34" t="n">
        <x:f>ROUND((H10*0.4)+(G10*0.3)+(F10*0.3),2)</x:f>
        <x:v>8.93</x:v>
      </x:c>
      <x:c r="J10" t="str">
        <x:f>IF(I10=MAXIFS($I$4:$I$29,$B$4:$B$29,B10),"Preferred","Alt")</x:f>
        <x:v>Preferred</x:v>
      </x:c>
    </x:row>
    <x:row r="11">
      <x:c r="A11" t="str">
        <x:v>CleanCo Supply</x:v>
      </x:c>
      <x:c r="B11" t="str">
        <x:v>SUP003</x:v>
      </x:c>
      <x:c r="C11" t="str">
        <x:v>Disinfectant Concentrate</x:v>
      </x:c>
      <x:c r="D11" s="28" t="n">
        <x:v>26</x:v>
      </x:c>
      <x:c r="E11" t="n">
        <x:v>2</x:v>
      </x:c>
      <x:c r="F11" t="n">
        <x:v>8</x:v>
      </x:c>
      <x:c r="G11" t="n">
        <x:f>MAX(1,11-E11)</x:f>
        <x:v>9</x:v>
      </x:c>
      <x:c r="H11" t="n">
        <x:f>IFERROR(10*MINIFS($D$4:$D$29,$B$4:$B$29,B11)/D11,0)</x:f>
        <x:v>8.846153846153847</x:v>
      </x:c>
      <x:c r="I11" s="34" t="n">
        <x:f>ROUND((H11*0.4)+(G11*0.3)+(F11*0.3),2)</x:f>
        <x:v>8.64</x:v>
      </x:c>
      <x:c r="J11" t="str">
        <x:f>IF(I11=MAXIFS($I$4:$I$29,$B$4:$B$29,B11),"Preferred","Alt")</x:f>
        <x:v>Alt</x:v>
      </x:c>
    </x:row>
    <x:row r="12">
      <x:c r="A12" t="str">
        <x:v>Facility Depot</x:v>
      </x:c>
      <x:c r="B12" t="str">
        <x:v>SUP003</x:v>
      </x:c>
      <x:c r="C12" t="str">
        <x:v>Disinfectant Concentrate</x:v>
      </x:c>
      <x:c r="D12" s="28" t="n">
        <x:v>23</x:v>
      </x:c>
      <x:c r="E12" t="n">
        <x:v>6</x:v>
      </x:c>
      <x:c r="F12" t="n">
        <x:v>7</x:v>
      </x:c>
      <x:c r="G12" t="n">
        <x:f>MAX(1,11-E12)</x:f>
        <x:v>5</x:v>
      </x:c>
      <x:c r="H12" t="n">
        <x:f>IFERROR(10*MINIFS($D$4:$D$29,$B$4:$B$29,B12)/D12,0)</x:f>
        <x:v>10</x:v>
      </x:c>
      <x:c r="I12" s="34" t="n">
        <x:f>ROUND((H12*0.4)+(G12*0.3)+(F12*0.3),2)</x:f>
        <x:v>7.6</x:v>
      </x:c>
      <x:c r="J12" t="str">
        <x:f>IF(I12=MAXIFS($I$4:$I$29,$B$4:$B$29,B12),"Preferred","Alt")</x:f>
        <x:v>Alt</x:v>
      </x:c>
    </x:row>
    <x:row r="13">
      <x:c r="A13" t="str">
        <x:v>CleanCo Supply</x:v>
      </x:c>
      <x:c r="B13" t="str">
        <x:v>SUP004</x:v>
      </x:c>
      <x:c r="C13" t="str">
        <x:v>Glass Cleaner</x:v>
      </x:c>
      <x:c r="D13" s="28" t="n">
        <x:v>18</x:v>
      </x:c>
      <x:c r="E13" t="n">
        <x:v>3</x:v>
      </x:c>
      <x:c r="F13" t="n">
        <x:v>9</x:v>
      </x:c>
      <x:c r="G13" t="n">
        <x:f>MAX(1,11-E13)</x:f>
        <x:v>8</x:v>
      </x:c>
      <x:c r="H13" t="n">
        <x:f>IFERROR(10*MINIFS($D$4:$D$29,$B$4:$B$29,B13)/D13,0)</x:f>
        <x:v>9.444444444444445</x:v>
      </x:c>
      <x:c r="I13" s="34" t="n">
        <x:f>ROUND((H13*0.4)+(G13*0.3)+(F13*0.3),2)</x:f>
        <x:v>8.88</x:v>
      </x:c>
      <x:c r="J13" t="str">
        <x:f>IF(I13=MAXIFS($I$4:$I$29,$B$4:$B$29,B13),"Preferred","Alt")</x:f>
        <x:v>Preferred</x:v>
      </x:c>
    </x:row>
    <x:row r="14">
      <x:c r="A14" t="str">
        <x:v>Facility Depot</x:v>
      </x:c>
      <x:c r="B14" t="str">
        <x:v>SUP004</x:v>
      </x:c>
      <x:c r="C14" t="str">
        <x:v>Glass Cleaner</x:v>
      </x:c>
      <x:c r="D14" s="28" t="n">
        <x:v>17</x:v>
      </x:c>
      <x:c r="E14" t="n">
        <x:v>5</x:v>
      </x:c>
      <x:c r="F14" t="n">
        <x:v>7</x:v>
      </x:c>
      <x:c r="G14" t="n">
        <x:f>MAX(1,11-E14)</x:f>
        <x:v>6</x:v>
      </x:c>
      <x:c r="H14" t="n">
        <x:f>IFERROR(10*MINIFS($D$4:$D$29,$B$4:$B$29,B14)/D14,0)</x:f>
        <x:v>10</x:v>
      </x:c>
      <x:c r="I14" s="34" t="n">
        <x:f>ROUND((H14*0.4)+(G14*0.3)+(F14*0.3),2)</x:f>
        <x:v>7.9</x:v>
      </x:c>
      <x:c r="J14" t="str">
        <x:f>IF(I14=MAXIFS($I$4:$I$29,$B$4:$B$29,B14),"Preferred","Alt")</x:f>
        <x:v>Alt</x:v>
      </x:c>
    </x:row>
    <x:row r="15">
      <x:c r="A15" t="str">
        <x:v>Janitorial Direct</x:v>
      </x:c>
      <x:c r="B15" t="str">
        <x:v>SUP004</x:v>
      </x:c>
      <x:c r="C15" t="str">
        <x:v>Glass Cleaner</x:v>
      </x:c>
      <x:c r="D15" s="28" t="n">
        <x:v>19</x:v>
      </x:c>
      <x:c r="E15" t="n">
        <x:v>2</x:v>
      </x:c>
      <x:c r="F15" t="n">
        <x:v>8</x:v>
      </x:c>
      <x:c r="G15" t="n">
        <x:f>MAX(1,11-E15)</x:f>
        <x:v>9</x:v>
      </x:c>
      <x:c r="H15" t="n">
        <x:f>IFERROR(10*MINIFS($D$4:$D$29,$B$4:$B$29,B15)/D15,0)</x:f>
        <x:v>8.947368421052632</x:v>
      </x:c>
      <x:c r="I15" s="34" t="n">
        <x:f>ROUND((H15*0.4)+(G15*0.3)+(F15*0.3),2)</x:f>
        <x:v>8.68</x:v>
      </x:c>
      <x:c r="J15" t="str">
        <x:f>IF(I15=MAXIFS($I$4:$I$29,$B$4:$B$29,B15),"Preferred","Alt")</x:f>
        <x:v>Alt</x:v>
      </x:c>
    </x:row>
    <x:row r="16">
      <x:c r="A16" t="str">
        <x:v>Facility Depot</x:v>
      </x:c>
      <x:c r="B16" t="str">
        <x:v>SUP005</x:v>
      </x:c>
      <x:c r="C16" t="str">
        <x:v>Paper Towels</x:v>
      </x:c>
      <x:c r="D16" s="28" t="n">
        <x:v>44</x:v>
      </x:c>
      <x:c r="E16" t="n">
        <x:v>4</x:v>
      </x:c>
      <x:c r="F16" t="n">
        <x:v>8</x:v>
      </x:c>
      <x:c r="G16" t="n">
        <x:f>MAX(1,11-E16)</x:f>
        <x:v>7</x:v>
      </x:c>
      <x:c r="H16" t="n">
        <x:f>IFERROR(10*MINIFS($D$4:$D$29,$B$4:$B$29,B16)/D16,0)</x:f>
        <x:v>9.545454545454545</x:v>
      </x:c>
      <x:c r="I16" s="34" t="n">
        <x:f>ROUND((H16*0.4)+(G16*0.3)+(F16*0.3),2)</x:f>
        <x:v>8.32</x:v>
      </x:c>
      <x:c r="J16" t="str">
        <x:f>IF(I16=MAXIFS($I$4:$I$29,$B$4:$B$29,B16),"Preferred","Alt")</x:f>
        <x:v>Alt</x:v>
      </x:c>
    </x:row>
    <x:row r="17">
      <x:c r="A17" t="str">
        <x:v>CleanCo Supply</x:v>
      </x:c>
      <x:c r="B17" t="str">
        <x:v>SUP005</x:v>
      </x:c>
      <x:c r="C17" t="str">
        <x:v>Paper Towels</x:v>
      </x:c>
      <x:c r="D17" s="28" t="n">
        <x:v>47</x:v>
      </x:c>
      <x:c r="E17" t="n">
        <x:v>2</x:v>
      </x:c>
      <x:c r="F17" t="n">
        <x:v>9</x:v>
      </x:c>
      <x:c r="G17" t="n">
        <x:f>MAX(1,11-E17)</x:f>
        <x:v>9</x:v>
      </x:c>
      <x:c r="H17" t="n">
        <x:f>IFERROR(10*MINIFS($D$4:$D$29,$B$4:$B$29,B17)/D17,0)</x:f>
        <x:v>8.936170212765957</x:v>
      </x:c>
      <x:c r="I17" s="34" t="n">
        <x:f>ROUND((H17*0.4)+(G17*0.3)+(F17*0.3),2)</x:f>
        <x:v>8.97</x:v>
      </x:c>
      <x:c r="J17" t="str">
        <x:f>IF(I17=MAXIFS($I$4:$I$29,$B$4:$B$29,B17),"Preferred","Alt")</x:f>
        <x:v>Preferred</x:v>
      </x:c>
    </x:row>
    <x:row r="18">
      <x:c r="A18" t="str">
        <x:v>Janitorial Direct</x:v>
      </x:c>
      <x:c r="B18" t="str">
        <x:v>SUP005</x:v>
      </x:c>
      <x:c r="C18" t="str">
        <x:v>Paper Towels</x:v>
      </x:c>
      <x:c r="D18" s="28" t="n">
        <x:v>42</x:v>
      </x:c>
      <x:c r="E18" t="n">
        <x:v>6</x:v>
      </x:c>
      <x:c r="F18" t="n">
        <x:v>7</x:v>
      </x:c>
      <x:c r="G18" t="n">
        <x:f>MAX(1,11-E18)</x:f>
        <x:v>5</x:v>
      </x:c>
      <x:c r="H18" t="n">
        <x:f>IFERROR(10*MINIFS($D$4:$D$29,$B$4:$B$29,B18)/D18,0)</x:f>
        <x:v>10</x:v>
      </x:c>
      <x:c r="I18" s="34" t="n">
        <x:f>ROUND((H18*0.4)+(G18*0.3)+(F18*0.3),2)</x:f>
        <x:v>7.6</x:v>
      </x:c>
      <x:c r="J18" t="str">
        <x:f>IF(I18=MAXIFS($I$4:$I$29,$B$4:$B$29,B18),"Preferred","Alt")</x:f>
        <x:v>Alt</x:v>
      </x:c>
    </x:row>
    <x:row r="19">
      <x:c r="A19" t="str">
        <x:v>Facility Depot</x:v>
      </x:c>
      <x:c r="B19" t="str">
        <x:v>SUP006</x:v>
      </x:c>
      <x:c r="C19" t="str">
        <x:v>Toilet Tissue</x:v>
      </x:c>
      <x:c r="D19" s="28" t="n">
        <x:v>39</x:v>
      </x:c>
      <x:c r="E19" t="n">
        <x:v>4</x:v>
      </x:c>
      <x:c r="F19" t="n">
        <x:v>8</x:v>
      </x:c>
      <x:c r="G19" t="n">
        <x:f>MAX(1,11-E19)</x:f>
        <x:v>7</x:v>
      </x:c>
      <x:c r="H19" t="n">
        <x:f>IFERROR(10*MINIFS($D$4:$D$29,$B$4:$B$29,B19)/D19,0)</x:f>
        <x:v>9.487179487179487</x:v>
      </x:c>
      <x:c r="I19" s="34" t="n">
        <x:f>ROUND((H19*0.4)+(G19*0.3)+(F19*0.3),2)</x:f>
        <x:v>8.29</x:v>
      </x:c>
      <x:c r="J19" t="str">
        <x:f>IF(I19=MAXIFS($I$4:$I$29,$B$4:$B$29,B19),"Preferred","Alt")</x:f>
        <x:v>Alt</x:v>
      </x:c>
    </x:row>
    <x:row r="20">
      <x:c r="A20" t="str">
        <x:v>CleanCo Supply</x:v>
      </x:c>
      <x:c r="B20" t="str">
        <x:v>SUP006</x:v>
      </x:c>
      <x:c r="C20" t="str">
        <x:v>Toilet Tissue</x:v>
      </x:c>
      <x:c r="D20" s="28" t="n">
        <x:v>41</x:v>
      </x:c>
      <x:c r="E20" t="n">
        <x:v>2</x:v>
      </x:c>
      <x:c r="F20" t="n">
        <x:v>9</x:v>
      </x:c>
      <x:c r="G20" t="n">
        <x:f>MAX(1,11-E20)</x:f>
        <x:v>9</x:v>
      </x:c>
      <x:c r="H20" t="n">
        <x:f>IFERROR(10*MINIFS($D$4:$D$29,$B$4:$B$29,B20)/D20,0)</x:f>
        <x:v>9.024390243902438</x:v>
      </x:c>
      <x:c r="I20" s="34" t="n">
        <x:f>ROUND((H20*0.4)+(G20*0.3)+(F20*0.3),2)</x:f>
        <x:v>9.01</x:v>
      </x:c>
      <x:c r="J20" t="str">
        <x:f>IF(I20=MAXIFS($I$4:$I$29,$B$4:$B$29,B20),"Preferred","Alt")</x:f>
        <x:v>Preferred</x:v>
      </x:c>
    </x:row>
    <x:row r="21">
      <x:c r="A21" t="str">
        <x:v>Janitorial Direct</x:v>
      </x:c>
      <x:c r="B21" t="str">
        <x:v>SUP006</x:v>
      </x:c>
      <x:c r="C21" t="str">
        <x:v>Toilet Tissue</x:v>
      </x:c>
      <x:c r="D21" s="28" t="n">
        <x:v>37</x:v>
      </x:c>
      <x:c r="E21" t="n">
        <x:v>7</x:v>
      </x:c>
      <x:c r="F21" t="n">
        <x:v>6</x:v>
      </x:c>
      <x:c r="G21" t="n">
        <x:f>MAX(1,11-E21)</x:f>
        <x:v>4</x:v>
      </x:c>
      <x:c r="H21" t="n">
        <x:f>IFERROR(10*MINIFS($D$4:$D$29,$B$4:$B$29,B21)/D21,0)</x:f>
        <x:v>10</x:v>
      </x:c>
      <x:c r="I21" s="34" t="n">
        <x:f>ROUND((H21*0.4)+(G21*0.3)+(F21*0.3),2)</x:f>
        <x:v>7</x:v>
      </x:c>
      <x:c r="J21" t="str">
        <x:f>IF(I21=MAXIFS($I$4:$I$29,$B$4:$B$29,B21),"Preferred","Alt")</x:f>
        <x:v>Alt</x:v>
      </x:c>
    </x:row>
    <x:row r="22">
      <x:c r="A22" t="str">
        <x:v>CleanCo Supply</x:v>
      </x:c>
      <x:c r="B22" t="str">
        <x:v>SUP007</x:v>
      </x:c>
      <x:c r="C22" t="str">
        <x:v>Microfiber Towels</x:v>
      </x:c>
      <x:c r="D22" s="28" t="n">
        <x:v>32</x:v>
      </x:c>
      <x:c r="E22" t="n">
        <x:v>3</x:v>
      </x:c>
      <x:c r="F22" t="n">
        <x:v>9</x:v>
      </x:c>
      <x:c r="G22" t="n">
        <x:f>MAX(1,11-E22)</x:f>
        <x:v>8</x:v>
      </x:c>
      <x:c r="H22" t="n">
        <x:f>IFERROR(10*MINIFS($D$4:$D$29,$B$4:$B$29,B22)/D22,0)</x:f>
        <x:v>9.375</x:v>
      </x:c>
      <x:c r="I22" s="34" t="n">
        <x:f>ROUND((H22*0.4)+(G22*0.3)+(F22*0.3),2)</x:f>
        <x:v>8.85</x:v>
      </x:c>
      <x:c r="J22" t="str">
        <x:f>IF(I22=MAXIFS($I$4:$I$29,$B$4:$B$29,B22),"Preferred","Alt")</x:f>
        <x:v>Preferred</x:v>
      </x:c>
    </x:row>
    <x:row r="23">
      <x:c r="A23" t="str">
        <x:v>Janitorial Direct</x:v>
      </x:c>
      <x:c r="B23" t="str">
        <x:v>SUP007</x:v>
      </x:c>
      <x:c r="C23" t="str">
        <x:v>Microfiber Towels</x:v>
      </x:c>
      <x:c r="D23" s="28" t="n">
        <x:v>30</x:v>
      </x:c>
      <x:c r="E23" t="n">
        <x:v>5</x:v>
      </x:c>
      <x:c r="F23" t="n">
        <x:v>7</x:v>
      </x:c>
      <x:c r="G23" t="n">
        <x:f>MAX(1,11-E23)</x:f>
        <x:v>6</x:v>
      </x:c>
      <x:c r="H23" t="n">
        <x:f>IFERROR(10*MINIFS($D$4:$D$29,$B$4:$B$29,B23)/D23,0)</x:f>
        <x:v>10</x:v>
      </x:c>
      <x:c r="I23" s="34" t="n">
        <x:f>ROUND((H23*0.4)+(G23*0.3)+(F23*0.3),2)</x:f>
        <x:v>7.9</x:v>
      </x:c>
      <x:c r="J23" t="str">
        <x:f>IF(I23=MAXIFS($I$4:$I$29,$B$4:$B$29,B23),"Preferred","Alt")</x:f>
        <x:v>Alt</x:v>
      </x:c>
    </x:row>
    <x:row r="24">
      <x:c r="A24" t="str">
        <x:v>Janitorial Direct</x:v>
      </x:c>
      <x:c r="B24" t="str">
        <x:v>SUP008</x:v>
      </x:c>
      <x:c r="C24" t="str">
        <x:v>Mop Heads</x:v>
      </x:c>
      <x:c r="D24" s="28" t="n">
        <x:v>9</x:v>
      </x:c>
      <x:c r="E24" t="n">
        <x:v>3</x:v>
      </x:c>
      <x:c r="F24" t="n">
        <x:v>9</x:v>
      </x:c>
      <x:c r="G24" t="n">
        <x:f>MAX(1,11-E24)</x:f>
        <x:v>8</x:v>
      </x:c>
      <x:c r="H24" t="n">
        <x:f>IFERROR(10*MINIFS($D$4:$D$29,$B$4:$B$29,B24)/D24,0)</x:f>
        <x:v>10</x:v>
      </x:c>
      <x:c r="I24" s="34" t="n">
        <x:f>ROUND((H24*0.4)+(G24*0.3)+(F24*0.3),2)</x:f>
        <x:v>9.1</x:v>
      </x:c>
      <x:c r="J24" t="str">
        <x:f>IF(I24=MAXIFS($I$4:$I$29,$B$4:$B$29,B24),"Preferred","Alt")</x:f>
        <x:v>Preferred</x:v>
      </x:c>
    </x:row>
    <x:row r="25">
      <x:c r="A25" t="str">
        <x:v>CleanCo Supply</x:v>
      </x:c>
      <x:c r="B25" t="str">
        <x:v>SUP008</x:v>
      </x:c>
      <x:c r="C25" t="str">
        <x:v>Mop Heads</x:v>
      </x:c>
      <x:c r="D25" s="28" t="n">
        <x:v>10</x:v>
      </x:c>
      <x:c r="E25" t="n">
        <x:v>2</x:v>
      </x:c>
      <x:c r="F25" t="n">
        <x:v>8</x:v>
      </x:c>
      <x:c r="G25" t="n">
        <x:f>MAX(1,11-E25)</x:f>
        <x:v>9</x:v>
      </x:c>
      <x:c r="H25" t="n">
        <x:f>IFERROR(10*MINIFS($D$4:$D$29,$B$4:$B$29,B25)/D25,0)</x:f>
        <x:v>9</x:v>
      </x:c>
      <x:c r="I25" s="34" t="n">
        <x:f>ROUND((H25*0.4)+(G25*0.3)+(F25*0.3),2)</x:f>
        <x:v>8.7</x:v>
      </x:c>
      <x:c r="J25" t="str">
        <x:f>IF(I25=MAXIFS($I$4:$I$29,$B$4:$B$29,B25),"Preferred","Alt")</x:f>
        <x:v>Alt</x:v>
      </x:c>
    </x:row>
    <x:row r="26">
      <x:c r="A26" t="str">
        <x:v>Janitorial Direct</x:v>
      </x:c>
      <x:c r="B26" t="str">
        <x:v>SUP009</x:v>
      </x:c>
      <x:c r="C26" t="str">
        <x:v>Floor Cleaner</x:v>
      </x:c>
      <x:c r="D26" s="28" t="n">
        <x:v>21</x:v>
      </x:c>
      <x:c r="E26" t="n">
        <x:v>3</x:v>
      </x:c>
      <x:c r="F26" t="n">
        <x:v>9</x:v>
      </x:c>
      <x:c r="G26" t="n">
        <x:f>MAX(1,11-E26)</x:f>
        <x:v>8</x:v>
      </x:c>
      <x:c r="H26" t="n">
        <x:f>IFERROR(10*MINIFS($D$4:$D$29,$B$4:$B$29,B26)/D26,0)</x:f>
        <x:v>10</x:v>
      </x:c>
      <x:c r="I26" s="34" t="n">
        <x:f>ROUND((H26*0.4)+(G26*0.3)+(F26*0.3),2)</x:f>
        <x:v>9.1</x:v>
      </x:c>
      <x:c r="J26" t="str">
        <x:f>IF(I26=MAXIFS($I$4:$I$29,$B$4:$B$29,B26),"Preferred","Alt")</x:f>
        <x:v>Preferred</x:v>
      </x:c>
    </x:row>
    <x:row r="27">
      <x:c r="A27" t="str">
        <x:v>CleanCo Supply</x:v>
      </x:c>
      <x:c r="B27" t="str">
        <x:v>SUP009</x:v>
      </x:c>
      <x:c r="C27" t="str">
        <x:v>Floor Cleaner</x:v>
      </x:c>
      <x:c r="D27" s="28" t="n">
        <x:v>23</x:v>
      </x:c>
      <x:c r="E27" t="n">
        <x:v>2</x:v>
      </x:c>
      <x:c r="F27" t="n">
        <x:v>8</x:v>
      </x:c>
      <x:c r="G27" t="n">
        <x:f>MAX(1,11-E27)</x:f>
        <x:v>9</x:v>
      </x:c>
      <x:c r="H27" t="n">
        <x:f>IFERROR(10*MINIFS($D$4:$D$29,$B$4:$B$29,B27)/D27,0)</x:f>
        <x:v>9.130434782608695</x:v>
      </x:c>
      <x:c r="I27" s="34" t="n">
        <x:f>ROUND((H27*0.4)+(G27*0.3)+(F27*0.3),2)</x:f>
        <x:v>8.75</x:v>
      </x:c>
      <x:c r="J27" t="str">
        <x:f>IF(I27=MAXIFS($I$4:$I$29,$B$4:$B$29,B27),"Preferred","Alt")</x:f>
        <x:v>Alt</x:v>
      </x:c>
    </x:row>
    <x:row r="28">
      <x:c r="A28" t="str">
        <x:v>Facility Depot</x:v>
      </x:c>
      <x:c r="B28" t="str">
        <x:v>SUP010</x:v>
      </x:c>
      <x:c r="C28" t="str">
        <x:v>Hand Soap Refill</x:v>
      </x:c>
      <x:c r="D28" s="28" t="n">
        <x:v>35</x:v>
      </x:c>
      <x:c r="E28" t="n">
        <x:v>4</x:v>
      </x:c>
      <x:c r="F28" t="n">
        <x:v>8</x:v>
      </x:c>
      <x:c r="G28" t="n">
        <x:f>MAX(1,11-E28)</x:f>
        <x:v>7</x:v>
      </x:c>
      <x:c r="H28" t="n">
        <x:f>IFERROR(10*MINIFS($D$4:$D$29,$B$4:$B$29,B28)/D28,0)</x:f>
        <x:v>10</x:v>
      </x:c>
      <x:c r="I28" s="34" t="n">
        <x:f>ROUND((H28*0.4)+(G28*0.3)+(F28*0.3),2)</x:f>
        <x:v>8.5</x:v>
      </x:c>
      <x:c r="J28" t="str">
        <x:f>IF(I28=MAXIFS($I$4:$I$29,$B$4:$B$29,B28),"Preferred","Alt")</x:f>
        <x:v>Alt</x:v>
      </x:c>
    </x:row>
    <x:row r="29">
      <x:c r="A29" t="str">
        <x:v>CleanCo Supply</x:v>
      </x:c>
      <x:c r="B29" t="str">
        <x:v>SUP010</x:v>
      </x:c>
      <x:c r="C29" t="str">
        <x:v>Hand Soap Refill</x:v>
      </x:c>
      <x:c r="D29" s="28" t="n">
        <x:v>37</x:v>
      </x:c>
      <x:c r="E29" t="n">
        <x:v>2</x:v>
      </x:c>
      <x:c r="F29" t="n">
        <x:v>9</x:v>
      </x:c>
      <x:c r="G29" t="n">
        <x:f>MAX(1,11-E29)</x:f>
        <x:v>9</x:v>
      </x:c>
      <x:c r="H29" t="n">
        <x:f>IFERROR(10*MINIFS($D$4:$D$29,$B$4:$B$29,B29)/D29,0)</x:f>
        <x:v>9.45945945945946</x:v>
      </x:c>
      <x:c r="I29" s="34" t="n">
        <x:f>ROUND((H29*0.4)+(G29*0.3)+(F29*0.3),2)</x:f>
        <x:v>9.18</x:v>
      </x:c>
      <x:c r="J29" t="str">
        <x:f>IF(I29=MAXIFS($I$4:$I$29,$B$4:$B$29,B29),"Preferred","Alt")</x:f>
        <x:v>Preferred</x:v>
      </x:c>
    </x:row>
  </x:sheetData>
  <x:conditionalFormatting sqref="J4:J80">
    <x:cfRule type="expression" dxfId="3" priority="1">
      <x:formula>J4="Preferred"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5e90be84ba40e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46" t="str">
        <x:v>Contract-Based Supply Forecast</x:v>
      </x:c>
      <x:c r="B1" s="46" t="str"/>
      <x:c r="C1" s="46" t="str"/>
      <x:c r="D1" s="46" t="str"/>
      <x:c r="E1" s="46" t="str"/>
      <x:c r="F1" s="46" t="str"/>
      <x:c r="G1" s="46" t="str"/>
      <x:c r="H1" s="46" t="str"/>
      <x:c r="I1" s="46" t="str"/>
      <x:c r="J1" s="46" t="str"/>
      <x:c r="K1" s="46" t="str"/>
      <x:c r="L1" s="46" t="str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3">
      <x:c r="A3" s="24" t="str">
        <x:v>Client</x:v>
      </x:c>
      <x:c r="B3" s="24" t="str">
        <x:v>Item ID</x:v>
      </x:c>
      <x:c r="C3" s="24" t="str">
        <x:v>Item</x:v>
      </x:c>
      <x:c r="D3" s="24" t="str">
        <x:v>Service Type</x:v>
      </x:c>
      <x:c r="E3" s="24" t="str">
        <x:v>Weekly Visits</x:v>
      </x:c>
      <x:c r="F3" s="24" t="str">
        <x:v>Headcount</x:v>
      </x:c>
      <x:c r="G3" s="24" t="str">
        <x:v>Sq Ft</x:v>
      </x:c>
      <x:c r="H3" s="24" t="str">
        <x:v>Service Factor</x:v>
      </x:c>
      <x:c r="I3" s="24" t="str">
        <x:v>Base Usage</x:v>
      </x:c>
      <x:c r="J3" s="24" t="str">
        <x:v>Weekly Qty</x:v>
      </x:c>
      <x:c r="K3" s="24" t="str">
        <x:v>Monthly Qty</x:v>
      </x:c>
      <x:c r="L3" s="24" t="str">
        <x:v>Priority</x:v>
      </x:c>
    </x:row>
    <x:row r="4">
      <x:c r="A4" t="str">
        <x:v>Bank</x:v>
      </x:c>
      <x:c r="B4" t="str">
        <x:v>SUP001</x:v>
      </x:c>
      <x:c r="C4" t="str">
        <x:v>Trash Liners 55 Gal</x:v>
      </x:c>
      <x:c r="D4" t="str">
        <x:f>XLOOKUP(A4,Contracts!$A$4:$A$15,Contracts!$C$4:$C$15,"")</x:f>
        <x:v>Office</x:v>
      </x:c>
      <x:c r="E4" t="n">
        <x:f>XLOOKUP(A4,Contracts!$A$4:$A$15,Contracts!$J$4:$J$15,0)</x:f>
        <x:v>5</x:v>
      </x:c>
      <x:c r="F4" t="n">
        <x:f>XLOOKUP(A4,Contracts!$A$4:$A$15,Contracts!$F$4:$F$15,0)</x:f>
        <x:v>1</x:v>
      </x:c>
      <x:c r="G4" t="n">
        <x:f>XLOOKUP(A4,Contracts!$A$4:$A$15,Contracts!$D$4:$D$15,0)</x:f>
        <x:v>4500</x:v>
      </x:c>
      <x:c r="H4" t="n">
        <x:f>XLOOKUP(D4,Settings!$A$4:$A$10,Settings!$B$4:$B$10,1)</x:f>
        <x:v>1</x:v>
      </x:c>
      <x:c r="I4" t="n">
        <x:f>XLOOKUP(B4,'Supply Catalog'!$A$4:$A$13,'Supply Catalog'!$E$4:$E$13,0)</x:f>
        <x:v>0.18</x:v>
      </x:c>
      <x:c r="J4" s="32" t="n">
        <x:f>ROUNDUP(E4*((I4*H4)+(G4*XLOOKUP(B4,'Supply Catalog'!$A$4:$A$13,'Supply Catalog'!$F$4:$F$13,0))+(F4*XLOOKUP(B4,'Supply Catalog'!$A$4:$A$13,'Supply Catalog'!$G$4:$G$13,0))),1)</x:f>
        <x:v>1.5</x:v>
      </x:c>
      <x:c r="K4" s="32" t="n">
        <x:f>ROUNDUP(J4*4.33,1)</x:f>
        <x:v>6.5</x:v>
      </x:c>
      <x:c r="L4" t="str">
        <x:f>XLOOKUP(A4,Contracts!$A$4:$A$15,Contracts!$G$4:$G$15,"")</x:f>
        <x:v>High</x:v>
      </x:c>
    </x:row>
    <x:row r="5">
      <x:c r="A5" t="str">
        <x:v>Bank</x:v>
      </x:c>
      <x:c r="B5" t="str">
        <x:v>SUP002</x:v>
      </x:c>
      <x:c r="C5" t="str">
        <x:v>Nitrile Gloves</x:v>
      </x:c>
      <x:c r="D5" t="str">
        <x:f>XLOOKUP(A5,Contracts!$A$4:$A$15,Contracts!$C$4:$C$15,"")</x:f>
        <x:v>Office</x:v>
      </x:c>
      <x:c r="E5" t="n">
        <x:f>XLOOKUP(A5,Contracts!$A$4:$A$15,Contracts!$J$4:$J$15,0)</x:f>
        <x:v>5</x:v>
      </x:c>
      <x:c r="F5" t="n">
        <x:f>XLOOKUP(A5,Contracts!$A$4:$A$15,Contracts!$F$4:$F$15,0)</x:f>
        <x:v>1</x:v>
      </x:c>
      <x:c r="G5" t="n">
        <x:f>XLOOKUP(A5,Contracts!$A$4:$A$15,Contracts!$D$4:$D$15,0)</x:f>
        <x:v>4500</x:v>
      </x:c>
      <x:c r="H5" t="n">
        <x:f>XLOOKUP(D5,Settings!$A$4:$A$10,Settings!$B$4:$B$10,1)</x:f>
        <x:v>1</x:v>
      </x:c>
      <x:c r="I5" t="n">
        <x:f>XLOOKUP(B5,'Supply Catalog'!$A$4:$A$13,'Supply Catalog'!$E$4:$E$13,0)</x:f>
        <x:v>0.45</x:v>
      </x:c>
      <x:c r="J5" s="32" t="n">
        <x:f>ROUNDUP(E5*((I5*H5)+(G5*XLOOKUP(B5,'Supply Catalog'!$A$4:$A$13,'Supply Catalog'!$F$4:$F$13,0))+(F5*XLOOKUP(B5,'Supply Catalog'!$A$4:$A$13,'Supply Catalog'!$G$4:$G$13,0))),1)</x:f>
        <x:v>2.9</x:v>
      </x:c>
      <x:c r="K5" s="32" t="n">
        <x:f>ROUNDUP(J5*4.33,1)</x:f>
        <x:v>12.6</x:v>
      </x:c>
      <x:c r="L5" t="str">
        <x:f>XLOOKUP(A5,Contracts!$A$4:$A$15,Contracts!$G$4:$G$15,"")</x:f>
        <x:v>High</x:v>
      </x:c>
    </x:row>
    <x:row r="6">
      <x:c r="A6" t="str">
        <x:v>Bank</x:v>
      </x:c>
      <x:c r="B6" t="str">
        <x:v>SUP003</x:v>
      </x:c>
      <x:c r="C6" t="str">
        <x:v>Disinfectant Concentrate</x:v>
      </x:c>
      <x:c r="D6" t="str">
        <x:f>XLOOKUP(A6,Contracts!$A$4:$A$15,Contracts!$C$4:$C$15,"")</x:f>
        <x:v>Office</x:v>
      </x:c>
      <x:c r="E6" t="n">
        <x:f>XLOOKUP(A6,Contracts!$A$4:$A$15,Contracts!$J$4:$J$15,0)</x:f>
        <x:v>5</x:v>
      </x:c>
      <x:c r="F6" t="n">
        <x:f>XLOOKUP(A6,Contracts!$A$4:$A$15,Contracts!$F$4:$F$15,0)</x:f>
        <x:v>1</x:v>
      </x:c>
      <x:c r="G6" t="n">
        <x:f>XLOOKUP(A6,Contracts!$A$4:$A$15,Contracts!$D$4:$D$15,0)</x:f>
        <x:v>4500</x:v>
      </x:c>
      <x:c r="H6" t="n">
        <x:f>XLOOKUP(D6,Settings!$A$4:$A$10,Settings!$B$4:$B$10,1)</x:f>
        <x:v>1</x:v>
      </x:c>
      <x:c r="I6" t="n">
        <x:f>XLOOKUP(B6,'Supply Catalog'!$A$4:$A$13,'Supply Catalog'!$E$4:$E$13,0)</x:f>
        <x:v>0.12</x:v>
      </x:c>
      <x:c r="J6" s="32" t="n">
        <x:f>ROUNDUP(E6*((I6*H6)+(G6*XLOOKUP(B6,'Supply Catalog'!$A$4:$A$13,'Supply Catalog'!$F$4:$F$13,0))+(F6*XLOOKUP(B6,'Supply Catalog'!$A$4:$A$13,'Supply Catalog'!$G$4:$G$13,0))),1)</x:f>
        <x:v>1.3</x:v>
      </x:c>
      <x:c r="K6" s="32" t="n">
        <x:f>ROUNDUP(J6*4.33,1)</x:f>
        <x:v>5.7</x:v>
      </x:c>
      <x:c r="L6" t="str">
        <x:f>XLOOKUP(A6,Contracts!$A$4:$A$15,Contracts!$G$4:$G$15,"")</x:f>
        <x:v>High</x:v>
      </x:c>
    </x:row>
    <x:row r="7">
      <x:c r="A7" t="str">
        <x:v>Bank</x:v>
      </x:c>
      <x:c r="B7" t="str">
        <x:v>SUP004</x:v>
      </x:c>
      <x:c r="C7" t="str">
        <x:v>Glass Cleaner</x:v>
      </x:c>
      <x:c r="D7" t="str">
        <x:f>XLOOKUP(A7,Contracts!$A$4:$A$15,Contracts!$C$4:$C$15,"")</x:f>
        <x:v>Office</x:v>
      </x:c>
      <x:c r="E7" t="n">
        <x:f>XLOOKUP(A7,Contracts!$A$4:$A$15,Contracts!$J$4:$J$15,0)</x:f>
        <x:v>5</x:v>
      </x:c>
      <x:c r="F7" t="n">
        <x:f>XLOOKUP(A7,Contracts!$A$4:$A$15,Contracts!$F$4:$F$15,0)</x:f>
        <x:v>1</x:v>
      </x:c>
      <x:c r="G7" t="n">
        <x:f>XLOOKUP(A7,Contracts!$A$4:$A$15,Contracts!$D$4:$D$15,0)</x:f>
        <x:v>4500</x:v>
      </x:c>
      <x:c r="H7" t="n">
        <x:f>XLOOKUP(D7,Settings!$A$4:$A$10,Settings!$B$4:$B$10,1)</x:f>
        <x:v>1</x:v>
      </x:c>
      <x:c r="I7" t="n">
        <x:f>XLOOKUP(B7,'Supply Catalog'!$A$4:$A$13,'Supply Catalog'!$E$4:$E$13,0)</x:f>
        <x:v>0.08</x:v>
      </x:c>
      <x:c r="J7" s="32" t="n">
        <x:f>ROUNDUP(E7*((I7*H7)+(G7*XLOOKUP(B7,'Supply Catalog'!$A$4:$A$13,'Supply Catalog'!$F$4:$F$13,0))+(F7*XLOOKUP(B7,'Supply Catalog'!$A$4:$A$13,'Supply Catalog'!$G$4:$G$13,0))),1)</x:f>
        <x:v>0.8</x:v>
      </x:c>
      <x:c r="K7" s="32" t="n">
        <x:f>ROUNDUP(J7*4.33,1)</x:f>
        <x:v>3.5</x:v>
      </x:c>
      <x:c r="L7" t="str">
        <x:f>XLOOKUP(A7,Contracts!$A$4:$A$15,Contracts!$G$4:$G$15,"")</x:f>
        <x:v>High</x:v>
      </x:c>
    </x:row>
    <x:row r="8">
      <x:c r="A8" t="str">
        <x:v>Bank</x:v>
      </x:c>
      <x:c r="B8" t="str">
        <x:v>SUP005</x:v>
      </x:c>
      <x:c r="C8" t="str">
        <x:v>Paper Towels</x:v>
      </x:c>
      <x:c r="D8" t="str">
        <x:f>XLOOKUP(A8,Contracts!$A$4:$A$15,Contracts!$C$4:$C$15,"")</x:f>
        <x:v>Office</x:v>
      </x:c>
      <x:c r="E8" t="n">
        <x:f>XLOOKUP(A8,Contracts!$A$4:$A$15,Contracts!$J$4:$J$15,0)</x:f>
        <x:v>5</x:v>
      </x:c>
      <x:c r="F8" t="n">
        <x:f>XLOOKUP(A8,Contracts!$A$4:$A$15,Contracts!$F$4:$F$15,0)</x:f>
        <x:v>1</x:v>
      </x:c>
      <x:c r="G8" t="n">
        <x:f>XLOOKUP(A8,Contracts!$A$4:$A$15,Contracts!$D$4:$D$15,0)</x:f>
        <x:v>4500</x:v>
      </x:c>
      <x:c r="H8" t="n">
        <x:f>XLOOKUP(D8,Settings!$A$4:$A$10,Settings!$B$4:$B$10,1)</x:f>
        <x:v>1</x:v>
      </x:c>
      <x:c r="I8" t="n">
        <x:f>XLOOKUP(B8,'Supply Catalog'!$A$4:$A$13,'Supply Catalog'!$E$4:$E$13,0)</x:f>
        <x:v>0.2</x:v>
      </x:c>
      <x:c r="J8" s="32" t="n">
        <x:f>ROUNDUP(E8*((I8*H8)+(G8*XLOOKUP(B8,'Supply Catalog'!$A$4:$A$13,'Supply Catalog'!$F$4:$F$13,0))+(F8*XLOOKUP(B8,'Supply Catalog'!$A$4:$A$13,'Supply Catalog'!$G$4:$G$13,0))),1)</x:f>
        <x:v>1.7</x:v>
      </x:c>
      <x:c r="K8" s="32" t="n">
        <x:f>ROUNDUP(J8*4.33,1)</x:f>
        <x:v>7.4</x:v>
      </x:c>
      <x:c r="L8" t="str">
        <x:f>XLOOKUP(A8,Contracts!$A$4:$A$15,Contracts!$G$4:$G$15,"")</x:f>
        <x:v>High</x:v>
      </x:c>
    </x:row>
    <x:row r="9">
      <x:c r="A9" t="str">
        <x:v>Bank</x:v>
      </x:c>
      <x:c r="B9" t="str">
        <x:v>SUP006</x:v>
      </x:c>
      <x:c r="C9" t="str">
        <x:v>Toilet Tissue</x:v>
      </x:c>
      <x:c r="D9" t="str">
        <x:f>XLOOKUP(A9,Contracts!$A$4:$A$15,Contracts!$C$4:$C$15,"")</x:f>
        <x:v>Office</x:v>
      </x:c>
      <x:c r="E9" t="n">
        <x:f>XLOOKUP(A9,Contracts!$A$4:$A$15,Contracts!$J$4:$J$15,0)</x:f>
        <x:v>5</x:v>
      </x:c>
      <x:c r="F9" t="n">
        <x:f>XLOOKUP(A9,Contracts!$A$4:$A$15,Contracts!$F$4:$F$15,0)</x:f>
        <x:v>1</x:v>
      </x:c>
      <x:c r="G9" t="n">
        <x:f>XLOOKUP(A9,Contracts!$A$4:$A$15,Contracts!$D$4:$D$15,0)</x:f>
        <x:v>4500</x:v>
      </x:c>
      <x:c r="H9" t="n">
        <x:f>XLOOKUP(D9,Settings!$A$4:$A$10,Settings!$B$4:$B$10,1)</x:f>
        <x:v>1</x:v>
      </x:c>
      <x:c r="I9" t="n">
        <x:f>XLOOKUP(B9,'Supply Catalog'!$A$4:$A$13,'Supply Catalog'!$E$4:$E$13,0)</x:f>
        <x:v>0.16</x:v>
      </x:c>
      <x:c r="J9" s="32" t="n">
        <x:f>ROUNDUP(E9*((I9*H9)+(G9*XLOOKUP(B9,'Supply Catalog'!$A$4:$A$13,'Supply Catalog'!$F$4:$F$13,0))+(F9*XLOOKUP(B9,'Supply Catalog'!$A$4:$A$13,'Supply Catalog'!$G$4:$G$13,0))),1)</x:f>
        <x:v>1.5</x:v>
      </x:c>
      <x:c r="K9" s="32" t="n">
        <x:f>ROUNDUP(J9*4.33,1)</x:f>
        <x:v>6.5</x:v>
      </x:c>
      <x:c r="L9" t="str">
        <x:f>XLOOKUP(A9,Contracts!$A$4:$A$15,Contracts!$G$4:$G$15,"")</x:f>
        <x:v>High</x:v>
      </x:c>
    </x:row>
    <x:row r="10">
      <x:c r="A10" t="str">
        <x:v>Bank</x:v>
      </x:c>
      <x:c r="B10" t="str">
        <x:v>SUP007</x:v>
      </x:c>
      <x:c r="C10" t="str">
        <x:v>Microfiber Towels</x:v>
      </x:c>
      <x:c r="D10" t="str">
        <x:f>XLOOKUP(A10,Contracts!$A$4:$A$15,Contracts!$C$4:$C$15,"")</x:f>
        <x:v>Office</x:v>
      </x:c>
      <x:c r="E10" t="n">
        <x:f>XLOOKUP(A10,Contracts!$A$4:$A$15,Contracts!$J$4:$J$15,0)</x:f>
        <x:v>5</x:v>
      </x:c>
      <x:c r="F10" t="n">
        <x:f>XLOOKUP(A10,Contracts!$A$4:$A$15,Contracts!$F$4:$F$15,0)</x:f>
        <x:v>1</x:v>
      </x:c>
      <x:c r="G10" t="n">
        <x:f>XLOOKUP(A10,Contracts!$A$4:$A$15,Contracts!$D$4:$D$15,0)</x:f>
        <x:v>4500</x:v>
      </x:c>
      <x:c r="H10" t="n">
        <x:f>XLOOKUP(D10,Settings!$A$4:$A$10,Settings!$B$4:$B$10,1)</x:f>
        <x:v>1</x:v>
      </x:c>
      <x:c r="I10" t="n">
        <x:f>XLOOKUP(B10,'Supply Catalog'!$A$4:$A$13,'Supply Catalog'!$E$4:$E$13,0)</x:f>
        <x:v>0.06</x:v>
      </x:c>
      <x:c r="J10" s="32" t="n">
        <x:f>ROUNDUP(E10*((I10*H10)+(G10*XLOOKUP(B10,'Supply Catalog'!$A$4:$A$13,'Supply Catalog'!$F$4:$F$13,0))+(F10*XLOOKUP(B10,'Supply Catalog'!$A$4:$A$13,'Supply Catalog'!$G$4:$G$13,0))),1)</x:f>
        <x:v>0.7</x:v>
      </x:c>
      <x:c r="K10" s="32" t="n">
        <x:f>ROUNDUP(J10*4.33,1)</x:f>
        <x:v>3.1</x:v>
      </x:c>
      <x:c r="L10" t="str">
        <x:f>XLOOKUP(A10,Contracts!$A$4:$A$15,Contracts!$G$4:$G$15,"")</x:f>
        <x:v>High</x:v>
      </x:c>
    </x:row>
    <x:row r="11">
      <x:c r="A11" t="str">
        <x:v>Bank</x:v>
      </x:c>
      <x:c r="B11" t="str">
        <x:v>SUP008</x:v>
      </x:c>
      <x:c r="C11" t="str">
        <x:v>Mop Heads</x:v>
      </x:c>
      <x:c r="D11" t="str">
        <x:f>XLOOKUP(A11,Contracts!$A$4:$A$15,Contracts!$C$4:$C$15,"")</x:f>
        <x:v>Office</x:v>
      </x:c>
      <x:c r="E11" t="n">
        <x:f>XLOOKUP(A11,Contracts!$A$4:$A$15,Contracts!$J$4:$J$15,0)</x:f>
        <x:v>5</x:v>
      </x:c>
      <x:c r="F11" t="n">
        <x:f>XLOOKUP(A11,Contracts!$A$4:$A$15,Contracts!$F$4:$F$15,0)</x:f>
        <x:v>1</x:v>
      </x:c>
      <x:c r="G11" t="n">
        <x:f>XLOOKUP(A11,Contracts!$A$4:$A$15,Contracts!$D$4:$D$15,0)</x:f>
        <x:v>4500</x:v>
      </x:c>
      <x:c r="H11" t="n">
        <x:f>XLOOKUP(D11,Settings!$A$4:$A$10,Settings!$B$4:$B$10,1)</x:f>
        <x:v>1</x:v>
      </x:c>
      <x:c r="I11" t="n">
        <x:f>XLOOKUP(B11,'Supply Catalog'!$A$4:$A$13,'Supply Catalog'!$E$4:$E$13,0)</x:f>
        <x:v>0.04</x:v>
      </x:c>
      <x:c r="J11" s="32" t="n">
        <x:f>ROUNDUP(E11*((I11*H11)+(G11*XLOOKUP(B11,'Supply Catalog'!$A$4:$A$13,'Supply Catalog'!$F$4:$F$13,0))+(F11*XLOOKUP(B11,'Supply Catalog'!$A$4:$A$13,'Supply Catalog'!$G$4:$G$13,0))),1)</x:f>
        <x:v>0.4</x:v>
      </x:c>
      <x:c r="K11" s="32" t="n">
        <x:f>ROUNDUP(J11*4.33,1)</x:f>
        <x:v>1.8</x:v>
      </x:c>
      <x:c r="L11" t="str">
        <x:f>XLOOKUP(A11,Contracts!$A$4:$A$15,Contracts!$G$4:$G$15,"")</x:f>
        <x:v>High</x:v>
      </x:c>
    </x:row>
    <x:row r="12">
      <x:c r="A12" t="str">
        <x:v>Bank</x:v>
      </x:c>
      <x:c r="B12" t="str">
        <x:v>SUP009</x:v>
      </x:c>
      <x:c r="C12" t="str">
        <x:v>Floor Cleaner</x:v>
      </x:c>
      <x:c r="D12" t="str">
        <x:f>XLOOKUP(A12,Contracts!$A$4:$A$15,Contracts!$C$4:$C$15,"")</x:f>
        <x:v>Office</x:v>
      </x:c>
      <x:c r="E12" t="n">
        <x:f>XLOOKUP(A12,Contracts!$A$4:$A$15,Contracts!$J$4:$J$15,0)</x:f>
        <x:v>5</x:v>
      </x:c>
      <x:c r="F12" t="n">
        <x:f>XLOOKUP(A12,Contracts!$A$4:$A$15,Contracts!$F$4:$F$15,0)</x:f>
        <x:v>1</x:v>
      </x:c>
      <x:c r="G12" t="n">
        <x:f>XLOOKUP(A12,Contracts!$A$4:$A$15,Contracts!$D$4:$D$15,0)</x:f>
        <x:v>4500</x:v>
      </x:c>
      <x:c r="H12" t="n">
        <x:f>XLOOKUP(D12,Settings!$A$4:$A$10,Settings!$B$4:$B$10,1)</x:f>
        <x:v>1</x:v>
      </x:c>
      <x:c r="I12" t="n">
        <x:f>XLOOKUP(B12,'Supply Catalog'!$A$4:$A$13,'Supply Catalog'!$E$4:$E$13,0)</x:f>
        <x:v>0.1</x:v>
      </x:c>
      <x:c r="J12" s="32" t="n">
        <x:f>ROUNDUP(E12*((I12*H12)+(G12*XLOOKUP(B12,'Supply Catalog'!$A$4:$A$13,'Supply Catalog'!$F$4:$F$13,0))+(F12*XLOOKUP(B12,'Supply Catalog'!$A$4:$A$13,'Supply Catalog'!$G$4:$G$13,0))),1)</x:f>
        <x:v>1.2</x:v>
      </x:c>
      <x:c r="K12" s="32" t="n">
        <x:f>ROUNDUP(J12*4.33,1)</x:f>
        <x:v>5.2</x:v>
      </x:c>
      <x:c r="L12" t="str">
        <x:f>XLOOKUP(A12,Contracts!$A$4:$A$15,Contracts!$G$4:$G$15,"")</x:f>
        <x:v>High</x:v>
      </x:c>
    </x:row>
    <x:row r="13">
      <x:c r="A13" t="str">
        <x:v>Bank</x:v>
      </x:c>
      <x:c r="B13" t="str">
        <x:v>SUP010</x:v>
      </x:c>
      <x:c r="C13" t="str">
        <x:v>Hand Soap Refill</x:v>
      </x:c>
      <x:c r="D13" t="str">
        <x:f>XLOOKUP(A13,Contracts!$A$4:$A$15,Contracts!$C$4:$C$15,"")</x:f>
        <x:v>Office</x:v>
      </x:c>
      <x:c r="E13" t="n">
        <x:f>XLOOKUP(A13,Contracts!$A$4:$A$15,Contracts!$J$4:$J$15,0)</x:f>
        <x:v>5</x:v>
      </x:c>
      <x:c r="F13" t="n">
        <x:f>XLOOKUP(A13,Contracts!$A$4:$A$15,Contracts!$F$4:$F$15,0)</x:f>
        <x:v>1</x:v>
      </x:c>
      <x:c r="G13" t="n">
        <x:f>XLOOKUP(A13,Contracts!$A$4:$A$15,Contracts!$D$4:$D$15,0)</x:f>
        <x:v>4500</x:v>
      </x:c>
      <x:c r="H13" t="n">
        <x:f>XLOOKUP(D13,Settings!$A$4:$A$10,Settings!$B$4:$B$10,1)</x:f>
        <x:v>1</x:v>
      </x:c>
      <x:c r="I13" t="n">
        <x:f>XLOOKUP(B13,'Supply Catalog'!$A$4:$A$13,'Supply Catalog'!$E$4:$E$13,0)</x:f>
        <x:v>0.1</x:v>
      </x:c>
      <x:c r="J13" s="32" t="n">
        <x:f>ROUNDUP(E13*((I13*H13)+(G13*XLOOKUP(B13,'Supply Catalog'!$A$4:$A$13,'Supply Catalog'!$F$4:$F$13,0))+(F13*XLOOKUP(B13,'Supply Catalog'!$A$4:$A$13,'Supply Catalog'!$G$4:$G$13,0))),1)</x:f>
        <x:v>1</x:v>
      </x:c>
      <x:c r="K13" s="32" t="n">
        <x:f>ROUNDUP(J13*4.33,1)</x:f>
        <x:v>4.4</x:v>
      </x:c>
      <x:c r="L13" t="str">
        <x:f>XLOOKUP(A13,Contracts!$A$4:$A$15,Contracts!$G$4:$G$15,"")</x:f>
        <x:v>High</x:v>
      </x:c>
    </x:row>
    <x:row r="14">
      <x:c r="A14" t="str">
        <x:v>HighSchool</x:v>
      </x:c>
      <x:c r="B14" t="str">
        <x:v>SUP001</x:v>
      </x:c>
      <x:c r="C14" t="str">
        <x:v>Trash Liners 55 Gal</x:v>
      </x:c>
      <x:c r="D14" t="str">
        <x:f>XLOOKUP(A14,Contracts!$A$4:$A$15,Contracts!$C$4:$C$15,"")</x:f>
        <x:v>Education</x:v>
      </x:c>
      <x:c r="E14" t="n">
        <x:f>XLOOKUP(A14,Contracts!$A$4:$A$15,Contracts!$J$4:$J$15,0)</x:f>
        <x:v>5</x:v>
      </x:c>
      <x:c r="F14" t="n">
        <x:f>XLOOKUP(A14,Contracts!$A$4:$A$15,Contracts!$F$4:$F$15,0)</x:f>
        <x:v>2</x:v>
      </x:c>
      <x:c r="G14" t="n">
        <x:f>XLOOKUP(A14,Contracts!$A$4:$A$15,Contracts!$D$4:$D$15,0)</x:f>
        <x:v>52000</x:v>
      </x:c>
      <x:c r="H14" t="n">
        <x:f>XLOOKUP(D14,Settings!$A$4:$A$10,Settings!$B$4:$B$10,1)</x:f>
        <x:v>2</x:v>
      </x:c>
      <x:c r="I14" t="n">
        <x:f>XLOOKUP(B14,'Supply Catalog'!$A$4:$A$13,'Supply Catalog'!$E$4:$E$13,0)</x:f>
        <x:v>0.18</x:v>
      </x:c>
      <x:c r="J14" s="32" t="n">
        <x:f>ROUNDUP(E14*((I14*H14)+(G14*XLOOKUP(B14,'Supply Catalog'!$A$4:$A$13,'Supply Catalog'!$F$4:$F$13,0))+(F14*XLOOKUP(B14,'Supply Catalog'!$A$4:$A$13,'Supply Catalog'!$G$4:$G$13,0))),1)</x:f>
        <x:v>6.3</x:v>
      </x:c>
      <x:c r="K14" s="32" t="n">
        <x:f>ROUNDUP(J14*4.33,1)</x:f>
        <x:v>27.3</x:v>
      </x:c>
      <x:c r="L14" t="str">
        <x:f>XLOOKUP(A14,Contracts!$A$4:$A$15,Contracts!$G$4:$G$15,"")</x:f>
        <x:v>High</x:v>
      </x:c>
    </x:row>
    <x:row r="15">
      <x:c r="A15" t="str">
        <x:v>HighSchool</x:v>
      </x:c>
      <x:c r="B15" t="str">
        <x:v>SUP002</x:v>
      </x:c>
      <x:c r="C15" t="str">
        <x:v>Nitrile Gloves</x:v>
      </x:c>
      <x:c r="D15" t="str">
        <x:f>XLOOKUP(A15,Contracts!$A$4:$A$15,Contracts!$C$4:$C$15,"")</x:f>
        <x:v>Education</x:v>
      </x:c>
      <x:c r="E15" t="n">
        <x:f>XLOOKUP(A15,Contracts!$A$4:$A$15,Contracts!$J$4:$J$15,0)</x:f>
        <x:v>5</x:v>
      </x:c>
      <x:c r="F15" t="n">
        <x:f>XLOOKUP(A15,Contracts!$A$4:$A$15,Contracts!$F$4:$F$15,0)</x:f>
        <x:v>2</x:v>
      </x:c>
      <x:c r="G15" t="n">
        <x:f>XLOOKUP(A15,Contracts!$A$4:$A$15,Contracts!$D$4:$D$15,0)</x:f>
        <x:v>52000</x:v>
      </x:c>
      <x:c r="H15" t="n">
        <x:f>XLOOKUP(D15,Settings!$A$4:$A$10,Settings!$B$4:$B$10,1)</x:f>
        <x:v>2</x:v>
      </x:c>
      <x:c r="I15" t="n">
        <x:f>XLOOKUP(B15,'Supply Catalog'!$A$4:$A$13,'Supply Catalog'!$E$4:$E$13,0)</x:f>
        <x:v>0.45</x:v>
      </x:c>
      <x:c r="J15" s="32" t="n">
        <x:f>ROUNDUP(E15*((I15*H15)+(G15*XLOOKUP(B15,'Supply Catalog'!$A$4:$A$13,'Supply Catalog'!$F$4:$F$13,0))+(F15*XLOOKUP(B15,'Supply Catalog'!$A$4:$A$13,'Supply Catalog'!$G$4:$G$13,0))),1)</x:f>
        <x:v>6.8</x:v>
      </x:c>
      <x:c r="K15" s="32" t="n">
        <x:f>ROUNDUP(J15*4.33,1)</x:f>
        <x:v>29.5</x:v>
      </x:c>
      <x:c r="L15" t="str">
        <x:f>XLOOKUP(A15,Contracts!$A$4:$A$15,Contracts!$G$4:$G$15,"")</x:f>
        <x:v>High</x:v>
      </x:c>
    </x:row>
    <x:row r="16">
      <x:c r="A16" t="str">
        <x:v>HighSchool</x:v>
      </x:c>
      <x:c r="B16" t="str">
        <x:v>SUP003</x:v>
      </x:c>
      <x:c r="C16" t="str">
        <x:v>Disinfectant Concentrate</x:v>
      </x:c>
      <x:c r="D16" t="str">
        <x:f>XLOOKUP(A16,Contracts!$A$4:$A$15,Contracts!$C$4:$C$15,"")</x:f>
        <x:v>Education</x:v>
      </x:c>
      <x:c r="E16" t="n">
        <x:f>XLOOKUP(A16,Contracts!$A$4:$A$15,Contracts!$J$4:$J$15,0)</x:f>
        <x:v>5</x:v>
      </x:c>
      <x:c r="F16" t="n">
        <x:f>XLOOKUP(A16,Contracts!$A$4:$A$15,Contracts!$F$4:$F$15,0)</x:f>
        <x:v>2</x:v>
      </x:c>
      <x:c r="G16" t="n">
        <x:f>XLOOKUP(A16,Contracts!$A$4:$A$15,Contracts!$D$4:$D$15,0)</x:f>
        <x:v>52000</x:v>
      </x:c>
      <x:c r="H16" t="n">
        <x:f>XLOOKUP(D16,Settings!$A$4:$A$10,Settings!$B$4:$B$10,1)</x:f>
        <x:v>2</x:v>
      </x:c>
      <x:c r="I16" t="n">
        <x:f>XLOOKUP(B16,'Supply Catalog'!$A$4:$A$13,'Supply Catalog'!$E$4:$E$13,0)</x:f>
        <x:v>0.12</x:v>
      </x:c>
      <x:c r="J16" s="32" t="n">
        <x:f>ROUNDUP(E16*((I16*H16)+(G16*XLOOKUP(B16,'Supply Catalog'!$A$4:$A$13,'Supply Catalog'!$F$4:$F$13,0))+(F16*XLOOKUP(B16,'Supply Catalog'!$A$4:$A$13,'Supply Catalog'!$G$4:$G$13,0))),1)</x:f>
        <x:v>6.8</x:v>
      </x:c>
      <x:c r="K16" s="32" t="n">
        <x:f>ROUNDUP(J16*4.33,1)</x:f>
        <x:v>29.5</x:v>
      </x:c>
      <x:c r="L16" t="str">
        <x:f>XLOOKUP(A16,Contracts!$A$4:$A$15,Contracts!$G$4:$G$15,"")</x:f>
        <x:v>High</x:v>
      </x:c>
    </x:row>
    <x:row r="17">
      <x:c r="A17" t="str">
        <x:v>HighSchool</x:v>
      </x:c>
      <x:c r="B17" t="str">
        <x:v>SUP004</x:v>
      </x:c>
      <x:c r="C17" t="str">
        <x:v>Glass Cleaner</x:v>
      </x:c>
      <x:c r="D17" t="str">
        <x:f>XLOOKUP(A17,Contracts!$A$4:$A$15,Contracts!$C$4:$C$15,"")</x:f>
        <x:v>Education</x:v>
      </x:c>
      <x:c r="E17" t="n">
        <x:f>XLOOKUP(A17,Contracts!$A$4:$A$15,Contracts!$J$4:$J$15,0)</x:f>
        <x:v>5</x:v>
      </x:c>
      <x:c r="F17" t="n">
        <x:f>XLOOKUP(A17,Contracts!$A$4:$A$15,Contracts!$F$4:$F$15,0)</x:f>
        <x:v>2</x:v>
      </x:c>
      <x:c r="G17" t="n">
        <x:f>XLOOKUP(A17,Contracts!$A$4:$A$15,Contracts!$D$4:$D$15,0)</x:f>
        <x:v>52000</x:v>
      </x:c>
      <x:c r="H17" t="n">
        <x:f>XLOOKUP(D17,Settings!$A$4:$A$10,Settings!$B$4:$B$10,1)</x:f>
        <x:v>2</x:v>
      </x:c>
      <x:c r="I17" t="n">
        <x:f>XLOOKUP(B17,'Supply Catalog'!$A$4:$A$13,'Supply Catalog'!$E$4:$E$13,0)</x:f>
        <x:v>0.08</x:v>
      </x:c>
      <x:c r="J17" s="32" t="n">
        <x:f>ROUNDUP(E17*((I17*H17)+(G17*XLOOKUP(B17,'Supply Catalog'!$A$4:$A$13,'Supply Catalog'!$F$4:$F$13,0))+(F17*XLOOKUP(B17,'Supply Catalog'!$A$4:$A$13,'Supply Catalog'!$G$4:$G$13,0))),1)</x:f>
        <x:v>3.7</x:v>
      </x:c>
      <x:c r="K17" s="32" t="n">
        <x:f>ROUNDUP(J17*4.33,1)</x:f>
        <x:v>16.1</x:v>
      </x:c>
      <x:c r="L17" t="str">
        <x:f>XLOOKUP(A17,Contracts!$A$4:$A$15,Contracts!$G$4:$G$15,"")</x:f>
        <x:v>High</x:v>
      </x:c>
    </x:row>
    <x:row r="18">
      <x:c r="A18" t="str">
        <x:v>HighSchool</x:v>
      </x:c>
      <x:c r="B18" t="str">
        <x:v>SUP005</x:v>
      </x:c>
      <x:c r="C18" t="str">
        <x:v>Paper Towels</x:v>
      </x:c>
      <x:c r="D18" t="str">
        <x:f>XLOOKUP(A18,Contracts!$A$4:$A$15,Contracts!$C$4:$C$15,"")</x:f>
        <x:v>Education</x:v>
      </x:c>
      <x:c r="E18" t="n">
        <x:f>XLOOKUP(A18,Contracts!$A$4:$A$15,Contracts!$J$4:$J$15,0)</x:f>
        <x:v>5</x:v>
      </x:c>
      <x:c r="F18" t="n">
        <x:f>XLOOKUP(A18,Contracts!$A$4:$A$15,Contracts!$F$4:$F$15,0)</x:f>
        <x:v>2</x:v>
      </x:c>
      <x:c r="G18" t="n">
        <x:f>XLOOKUP(A18,Contracts!$A$4:$A$15,Contracts!$D$4:$D$15,0)</x:f>
        <x:v>52000</x:v>
      </x:c>
      <x:c r="H18" t="n">
        <x:f>XLOOKUP(D18,Settings!$A$4:$A$10,Settings!$B$4:$B$10,1)</x:f>
        <x:v>2</x:v>
      </x:c>
      <x:c r="I18" t="n">
        <x:f>XLOOKUP(B18,'Supply Catalog'!$A$4:$A$13,'Supply Catalog'!$E$4:$E$13,0)</x:f>
        <x:v>0.2</x:v>
      </x:c>
      <x:c r="J18" s="32" t="n">
        <x:f>ROUNDUP(E18*((I18*H18)+(G18*XLOOKUP(B18,'Supply Catalog'!$A$4:$A$13,'Supply Catalog'!$F$4:$F$13,0))+(F18*XLOOKUP(B18,'Supply Catalog'!$A$4:$A$13,'Supply Catalog'!$G$4:$G$13,0))),1)</x:f>
        <x:v>7.6</x:v>
      </x:c>
      <x:c r="K18" s="32" t="n">
        <x:f>ROUNDUP(J18*4.33,1)</x:f>
        <x:v>33</x:v>
      </x:c>
      <x:c r="L18" t="str">
        <x:f>XLOOKUP(A18,Contracts!$A$4:$A$15,Contracts!$G$4:$G$15,"")</x:f>
        <x:v>High</x:v>
      </x:c>
    </x:row>
    <x:row r="19">
      <x:c r="A19" t="str">
        <x:v>HighSchool</x:v>
      </x:c>
      <x:c r="B19" t="str">
        <x:v>SUP006</x:v>
      </x:c>
      <x:c r="C19" t="str">
        <x:v>Toilet Tissue</x:v>
      </x:c>
      <x:c r="D19" t="str">
        <x:f>XLOOKUP(A19,Contracts!$A$4:$A$15,Contracts!$C$4:$C$15,"")</x:f>
        <x:v>Education</x:v>
      </x:c>
      <x:c r="E19" t="n">
        <x:f>XLOOKUP(A19,Contracts!$A$4:$A$15,Contracts!$J$4:$J$15,0)</x:f>
        <x:v>5</x:v>
      </x:c>
      <x:c r="F19" t="n">
        <x:f>XLOOKUP(A19,Contracts!$A$4:$A$15,Contracts!$F$4:$F$15,0)</x:f>
        <x:v>2</x:v>
      </x:c>
      <x:c r="G19" t="n">
        <x:f>XLOOKUP(A19,Contracts!$A$4:$A$15,Contracts!$D$4:$D$15,0)</x:f>
        <x:v>52000</x:v>
      </x:c>
      <x:c r="H19" t="n">
        <x:f>XLOOKUP(D19,Settings!$A$4:$A$10,Settings!$B$4:$B$10,1)</x:f>
        <x:v>2</x:v>
      </x:c>
      <x:c r="I19" t="n">
        <x:f>XLOOKUP(B19,'Supply Catalog'!$A$4:$A$13,'Supply Catalog'!$E$4:$E$13,0)</x:f>
        <x:v>0.16</x:v>
      </x:c>
      <x:c r="J19" s="32" t="n">
        <x:f>ROUNDUP(E19*((I19*H19)+(G19*XLOOKUP(B19,'Supply Catalog'!$A$4:$A$13,'Supply Catalog'!$F$4:$F$13,0))+(F19*XLOOKUP(B19,'Supply Catalog'!$A$4:$A$13,'Supply Catalog'!$G$4:$G$13,0))),1)</x:f>
        <x:v>6.7</x:v>
      </x:c>
      <x:c r="K19" s="32" t="n">
        <x:f>ROUNDUP(J19*4.33,1)</x:f>
        <x:v>29.1</x:v>
      </x:c>
      <x:c r="L19" t="str">
        <x:f>XLOOKUP(A19,Contracts!$A$4:$A$15,Contracts!$G$4:$G$15,"")</x:f>
        <x:v>High</x:v>
      </x:c>
    </x:row>
    <x:row r="20">
      <x:c r="A20" t="str">
        <x:v>HighSchool</x:v>
      </x:c>
      <x:c r="B20" t="str">
        <x:v>SUP007</x:v>
      </x:c>
      <x:c r="C20" t="str">
        <x:v>Microfiber Towels</x:v>
      </x:c>
      <x:c r="D20" t="str">
        <x:f>XLOOKUP(A20,Contracts!$A$4:$A$15,Contracts!$C$4:$C$15,"")</x:f>
        <x:v>Education</x:v>
      </x:c>
      <x:c r="E20" t="n">
        <x:f>XLOOKUP(A20,Contracts!$A$4:$A$15,Contracts!$J$4:$J$15,0)</x:f>
        <x:v>5</x:v>
      </x:c>
      <x:c r="F20" t="n">
        <x:f>XLOOKUP(A20,Contracts!$A$4:$A$15,Contracts!$F$4:$F$15,0)</x:f>
        <x:v>2</x:v>
      </x:c>
      <x:c r="G20" t="n">
        <x:f>XLOOKUP(A20,Contracts!$A$4:$A$15,Contracts!$D$4:$D$15,0)</x:f>
        <x:v>52000</x:v>
      </x:c>
      <x:c r="H20" t="n">
        <x:f>XLOOKUP(D20,Settings!$A$4:$A$10,Settings!$B$4:$B$10,1)</x:f>
        <x:v>2</x:v>
      </x:c>
      <x:c r="I20" t="n">
        <x:f>XLOOKUP(B20,'Supply Catalog'!$A$4:$A$13,'Supply Catalog'!$E$4:$E$13,0)</x:f>
        <x:v>0.06</x:v>
      </x:c>
      <x:c r="J20" s="32" t="n">
        <x:f>ROUNDUP(E20*((I20*H20)+(G20*XLOOKUP(B20,'Supply Catalog'!$A$4:$A$13,'Supply Catalog'!$F$4:$F$13,0))+(F20*XLOOKUP(B20,'Supply Catalog'!$A$4:$A$13,'Supply Catalog'!$G$4:$G$13,0))),1)</x:f>
        <x:v>2.7</x:v>
      </x:c>
      <x:c r="K20" s="32" t="n">
        <x:f>ROUNDUP(J20*4.33,1)</x:f>
        <x:v>11.7</x:v>
      </x:c>
      <x:c r="L20" t="str">
        <x:f>XLOOKUP(A20,Contracts!$A$4:$A$15,Contracts!$G$4:$G$15,"")</x:f>
        <x:v>High</x:v>
      </x:c>
    </x:row>
    <x:row r="21">
      <x:c r="A21" t="str">
        <x:v>HighSchool</x:v>
      </x:c>
      <x:c r="B21" t="str">
        <x:v>SUP008</x:v>
      </x:c>
      <x:c r="C21" t="str">
        <x:v>Mop Heads</x:v>
      </x:c>
      <x:c r="D21" t="str">
        <x:f>XLOOKUP(A21,Contracts!$A$4:$A$15,Contracts!$C$4:$C$15,"")</x:f>
        <x:v>Education</x:v>
      </x:c>
      <x:c r="E21" t="n">
        <x:f>XLOOKUP(A21,Contracts!$A$4:$A$15,Contracts!$J$4:$J$15,0)</x:f>
        <x:v>5</x:v>
      </x:c>
      <x:c r="F21" t="n">
        <x:f>XLOOKUP(A21,Contracts!$A$4:$A$15,Contracts!$F$4:$F$15,0)</x:f>
        <x:v>2</x:v>
      </x:c>
      <x:c r="G21" t="n">
        <x:f>XLOOKUP(A21,Contracts!$A$4:$A$15,Contracts!$D$4:$D$15,0)</x:f>
        <x:v>52000</x:v>
      </x:c>
      <x:c r="H21" t="n">
        <x:f>XLOOKUP(D21,Settings!$A$4:$A$10,Settings!$B$4:$B$10,1)</x:f>
        <x:v>2</x:v>
      </x:c>
      <x:c r="I21" t="n">
        <x:f>XLOOKUP(B21,'Supply Catalog'!$A$4:$A$13,'Supply Catalog'!$E$4:$E$13,0)</x:f>
        <x:v>0.04</x:v>
      </x:c>
      <x:c r="J21" s="32" t="n">
        <x:f>ROUNDUP(E21*((I21*H21)+(G21*XLOOKUP(B21,'Supply Catalog'!$A$4:$A$13,'Supply Catalog'!$F$4:$F$13,0))+(F21*XLOOKUP(B21,'Supply Catalog'!$A$4:$A$13,'Supply Catalog'!$G$4:$G$13,0))),1)</x:f>
        <x:v>1.7</x:v>
      </x:c>
      <x:c r="K21" s="32" t="n">
        <x:f>ROUNDUP(J21*4.33,1)</x:f>
        <x:v>7.4</x:v>
      </x:c>
      <x:c r="L21" t="str">
        <x:f>XLOOKUP(A21,Contracts!$A$4:$A$15,Contracts!$G$4:$G$15,"")</x:f>
        <x:v>High</x:v>
      </x:c>
    </x:row>
    <x:row r="22">
      <x:c r="A22" t="str">
        <x:v>HighSchool</x:v>
      </x:c>
      <x:c r="B22" t="str">
        <x:v>SUP009</x:v>
      </x:c>
      <x:c r="C22" t="str">
        <x:v>Floor Cleaner</x:v>
      </x:c>
      <x:c r="D22" t="str">
        <x:f>XLOOKUP(A22,Contracts!$A$4:$A$15,Contracts!$C$4:$C$15,"")</x:f>
        <x:v>Education</x:v>
      </x:c>
      <x:c r="E22" t="n">
        <x:f>XLOOKUP(A22,Contracts!$A$4:$A$15,Contracts!$J$4:$J$15,0)</x:f>
        <x:v>5</x:v>
      </x:c>
      <x:c r="F22" t="n">
        <x:f>XLOOKUP(A22,Contracts!$A$4:$A$15,Contracts!$F$4:$F$15,0)</x:f>
        <x:v>2</x:v>
      </x:c>
      <x:c r="G22" t="n">
        <x:f>XLOOKUP(A22,Contracts!$A$4:$A$15,Contracts!$D$4:$D$15,0)</x:f>
        <x:v>52000</x:v>
      </x:c>
      <x:c r="H22" t="n">
        <x:f>XLOOKUP(D22,Settings!$A$4:$A$10,Settings!$B$4:$B$10,1)</x:f>
        <x:v>2</x:v>
      </x:c>
      <x:c r="I22" t="n">
        <x:f>XLOOKUP(B22,'Supply Catalog'!$A$4:$A$13,'Supply Catalog'!$E$4:$E$13,0)</x:f>
        <x:v>0.1</x:v>
      </x:c>
      <x:c r="J22" s="32" t="n">
        <x:f>ROUNDUP(E22*((I22*H22)+(G22*XLOOKUP(B22,'Supply Catalog'!$A$4:$A$13,'Supply Catalog'!$F$4:$F$13,0))+(F22*XLOOKUP(B22,'Supply Catalog'!$A$4:$A$13,'Supply Catalog'!$G$4:$G$13,0))),1)</x:f>
        <x:v>6.1</x:v>
      </x:c>
      <x:c r="K22" s="32" t="n">
        <x:f>ROUNDUP(J22*4.33,1)</x:f>
        <x:v>26.5</x:v>
      </x:c>
      <x:c r="L22" t="str">
        <x:f>XLOOKUP(A22,Contracts!$A$4:$A$15,Contracts!$G$4:$G$15,"")</x:f>
        <x:v>High</x:v>
      </x:c>
    </x:row>
    <x:row r="23">
      <x:c r="A23" t="str">
        <x:v>HighSchool</x:v>
      </x:c>
      <x:c r="B23" t="str">
        <x:v>SUP010</x:v>
      </x:c>
      <x:c r="C23" t="str">
        <x:v>Hand Soap Refill</x:v>
      </x:c>
      <x:c r="D23" t="str">
        <x:f>XLOOKUP(A23,Contracts!$A$4:$A$15,Contracts!$C$4:$C$15,"")</x:f>
        <x:v>Education</x:v>
      </x:c>
      <x:c r="E23" t="n">
        <x:f>XLOOKUP(A23,Contracts!$A$4:$A$15,Contracts!$J$4:$J$15,0)</x:f>
        <x:v>5</x:v>
      </x:c>
      <x:c r="F23" t="n">
        <x:f>XLOOKUP(A23,Contracts!$A$4:$A$15,Contracts!$F$4:$F$15,0)</x:f>
        <x:v>2</x:v>
      </x:c>
      <x:c r="G23" t="n">
        <x:f>XLOOKUP(A23,Contracts!$A$4:$A$15,Contracts!$D$4:$D$15,0)</x:f>
        <x:v>52000</x:v>
      </x:c>
      <x:c r="H23" t="n">
        <x:f>XLOOKUP(D23,Settings!$A$4:$A$10,Settings!$B$4:$B$10,1)</x:f>
        <x:v>2</x:v>
      </x:c>
      <x:c r="I23" t="n">
        <x:f>XLOOKUP(B23,'Supply Catalog'!$A$4:$A$13,'Supply Catalog'!$E$4:$E$13,0)</x:f>
        <x:v>0.1</x:v>
      </x:c>
      <x:c r="J23" s="32" t="n">
        <x:f>ROUNDUP(E23*((I23*H23)+(G23*XLOOKUP(B23,'Supply Catalog'!$A$4:$A$13,'Supply Catalog'!$F$4:$F$13,0))+(F23*XLOOKUP(B23,'Supply Catalog'!$A$4:$A$13,'Supply Catalog'!$G$4:$G$13,0))),1)</x:f>
        <x:v>4.5</x:v>
      </x:c>
      <x:c r="K23" s="32" t="n">
        <x:f>ROUNDUP(J23*4.33,1)</x:f>
        <x:v>19.5</x:v>
      </x:c>
      <x:c r="L23" t="str">
        <x:f>XLOOKUP(A23,Contracts!$A$4:$A$15,Contracts!$G$4:$G$15,"")</x:f>
        <x:v>High</x:v>
      </x:c>
    </x:row>
    <x:row r="24">
      <x:c r="A24" t="str">
        <x:v>CityHall</x:v>
      </x:c>
      <x:c r="B24" t="str">
        <x:v>SUP001</x:v>
      </x:c>
      <x:c r="C24" t="str">
        <x:v>Trash Liners 55 Gal</x:v>
      </x:c>
      <x:c r="D24" t="str">
        <x:f>XLOOKUP(A24,Contracts!$A$4:$A$15,Contracts!$C$4:$C$15,"")</x:f>
        <x:v>Office</x:v>
      </x:c>
      <x:c r="E24" t="n">
        <x:f>XLOOKUP(A24,Contracts!$A$4:$A$15,Contracts!$J$4:$J$15,0)</x:f>
        <x:v>5</x:v>
      </x:c>
      <x:c r="F24" t="n">
        <x:f>XLOOKUP(A24,Contracts!$A$4:$A$15,Contracts!$F$4:$F$15,0)</x:f>
        <x:v>2</x:v>
      </x:c>
      <x:c r="G24" t="n">
        <x:f>XLOOKUP(A24,Contracts!$A$4:$A$15,Contracts!$D$4:$D$15,0)</x:f>
        <x:v>18000</x:v>
      </x:c>
      <x:c r="H24" t="n">
        <x:f>XLOOKUP(D24,Settings!$A$4:$A$10,Settings!$B$4:$B$10,1)</x:f>
        <x:v>1</x:v>
      </x:c>
      <x:c r="I24" t="n">
        <x:f>XLOOKUP(B24,'Supply Catalog'!$A$4:$A$13,'Supply Catalog'!$E$4:$E$13,0)</x:f>
        <x:v>0.18</x:v>
      </x:c>
      <x:c r="J24" s="32" t="n">
        <x:f>ROUNDUP(E24*((I24*H24)+(G24*XLOOKUP(B24,'Supply Catalog'!$A$4:$A$13,'Supply Catalog'!$F$4:$F$13,0))+(F24*XLOOKUP(B24,'Supply Catalog'!$A$4:$A$13,'Supply Catalog'!$G$4:$G$13,0))),1)</x:f>
        <x:v>2.8</x:v>
      </x:c>
      <x:c r="K24" s="32" t="n">
        <x:f>ROUNDUP(J24*4.33,1)</x:f>
        <x:v>12.2</x:v>
      </x:c>
      <x:c r="L24" t="str">
        <x:f>XLOOKUP(A24,Contracts!$A$4:$A$15,Contracts!$G$4:$G$15,"")</x:f>
        <x:v>Normal</x:v>
      </x:c>
    </x:row>
    <x:row r="25">
      <x:c r="A25" t="str">
        <x:v>CityHall</x:v>
      </x:c>
      <x:c r="B25" t="str">
        <x:v>SUP002</x:v>
      </x:c>
      <x:c r="C25" t="str">
        <x:v>Nitrile Gloves</x:v>
      </x:c>
      <x:c r="D25" t="str">
        <x:f>XLOOKUP(A25,Contracts!$A$4:$A$15,Contracts!$C$4:$C$15,"")</x:f>
        <x:v>Office</x:v>
      </x:c>
      <x:c r="E25" t="n">
        <x:f>XLOOKUP(A25,Contracts!$A$4:$A$15,Contracts!$J$4:$J$15,0)</x:f>
        <x:v>5</x:v>
      </x:c>
      <x:c r="F25" t="n">
        <x:f>XLOOKUP(A25,Contracts!$A$4:$A$15,Contracts!$F$4:$F$15,0)</x:f>
        <x:v>2</x:v>
      </x:c>
      <x:c r="G25" t="n">
        <x:f>XLOOKUP(A25,Contracts!$A$4:$A$15,Contracts!$D$4:$D$15,0)</x:f>
        <x:v>18000</x:v>
      </x:c>
      <x:c r="H25" t="n">
        <x:f>XLOOKUP(D25,Settings!$A$4:$A$10,Settings!$B$4:$B$10,1)</x:f>
        <x:v>1</x:v>
      </x:c>
      <x:c r="I25" t="n">
        <x:f>XLOOKUP(B25,'Supply Catalog'!$A$4:$A$13,'Supply Catalog'!$E$4:$E$13,0)</x:f>
        <x:v>0.45</x:v>
      </x:c>
      <x:c r="J25" s="32" t="n">
        <x:f>ROUNDUP(E25*((I25*H25)+(G25*XLOOKUP(B25,'Supply Catalog'!$A$4:$A$13,'Supply Catalog'!$F$4:$F$13,0))+(F25*XLOOKUP(B25,'Supply Catalog'!$A$4:$A$13,'Supply Catalog'!$G$4:$G$13,0))),1)</x:f>
        <x:v>3.7</x:v>
      </x:c>
      <x:c r="K25" s="32" t="n">
        <x:f>ROUNDUP(J25*4.33,1)</x:f>
        <x:v>16.1</x:v>
      </x:c>
      <x:c r="L25" t="str">
        <x:f>XLOOKUP(A25,Contracts!$A$4:$A$15,Contracts!$G$4:$G$15,"")</x:f>
        <x:v>Normal</x:v>
      </x:c>
    </x:row>
    <x:row r="26">
      <x:c r="A26" t="str">
        <x:v>CityHall</x:v>
      </x:c>
      <x:c r="B26" t="str">
        <x:v>SUP003</x:v>
      </x:c>
      <x:c r="C26" t="str">
        <x:v>Disinfectant Concentrate</x:v>
      </x:c>
      <x:c r="D26" t="str">
        <x:f>XLOOKUP(A26,Contracts!$A$4:$A$15,Contracts!$C$4:$C$15,"")</x:f>
        <x:v>Office</x:v>
      </x:c>
      <x:c r="E26" t="n">
        <x:f>XLOOKUP(A26,Contracts!$A$4:$A$15,Contracts!$J$4:$J$15,0)</x:f>
        <x:v>5</x:v>
      </x:c>
      <x:c r="F26" t="n">
        <x:f>XLOOKUP(A26,Contracts!$A$4:$A$15,Contracts!$F$4:$F$15,0)</x:f>
        <x:v>2</x:v>
      </x:c>
      <x:c r="G26" t="n">
        <x:f>XLOOKUP(A26,Contracts!$A$4:$A$15,Contracts!$D$4:$D$15,0)</x:f>
        <x:v>18000</x:v>
      </x:c>
      <x:c r="H26" t="n">
        <x:f>XLOOKUP(D26,Settings!$A$4:$A$10,Settings!$B$4:$B$10,1)</x:f>
        <x:v>1</x:v>
      </x:c>
      <x:c r="I26" t="n">
        <x:f>XLOOKUP(B26,'Supply Catalog'!$A$4:$A$13,'Supply Catalog'!$E$4:$E$13,0)</x:f>
        <x:v>0.12</x:v>
      </x:c>
      <x:c r="J26" s="32" t="n">
        <x:f>ROUNDUP(E26*((I26*H26)+(G26*XLOOKUP(B26,'Supply Catalog'!$A$4:$A$13,'Supply Catalog'!$F$4:$F$13,0))+(F26*XLOOKUP(B26,'Supply Catalog'!$A$4:$A$13,'Supply Catalog'!$G$4:$G$13,0))),1)</x:f>
        <x:v>2.9</x:v>
      </x:c>
      <x:c r="K26" s="32" t="n">
        <x:f>ROUNDUP(J26*4.33,1)</x:f>
        <x:v>12.6</x:v>
      </x:c>
      <x:c r="L26" t="str">
        <x:f>XLOOKUP(A26,Contracts!$A$4:$A$15,Contracts!$G$4:$G$15,"")</x:f>
        <x:v>Normal</x:v>
      </x:c>
    </x:row>
    <x:row r="27">
      <x:c r="A27" t="str">
        <x:v>CityHall</x:v>
      </x:c>
      <x:c r="B27" t="str">
        <x:v>SUP004</x:v>
      </x:c>
      <x:c r="C27" t="str">
        <x:v>Glass Cleaner</x:v>
      </x:c>
      <x:c r="D27" t="str">
        <x:f>XLOOKUP(A27,Contracts!$A$4:$A$15,Contracts!$C$4:$C$15,"")</x:f>
        <x:v>Office</x:v>
      </x:c>
      <x:c r="E27" t="n">
        <x:f>XLOOKUP(A27,Contracts!$A$4:$A$15,Contracts!$J$4:$J$15,0)</x:f>
        <x:v>5</x:v>
      </x:c>
      <x:c r="F27" t="n">
        <x:f>XLOOKUP(A27,Contracts!$A$4:$A$15,Contracts!$F$4:$F$15,0)</x:f>
        <x:v>2</x:v>
      </x:c>
      <x:c r="G27" t="n">
        <x:f>XLOOKUP(A27,Contracts!$A$4:$A$15,Contracts!$D$4:$D$15,0)</x:f>
        <x:v>18000</x:v>
      </x:c>
      <x:c r="H27" t="n">
        <x:f>XLOOKUP(D27,Settings!$A$4:$A$10,Settings!$B$4:$B$10,1)</x:f>
        <x:v>1</x:v>
      </x:c>
      <x:c r="I27" t="n">
        <x:f>XLOOKUP(B27,'Supply Catalog'!$A$4:$A$13,'Supply Catalog'!$E$4:$E$13,0)</x:f>
        <x:v>0.08</x:v>
      </x:c>
      <x:c r="J27" s="32" t="n">
        <x:f>ROUNDUP(E27*((I27*H27)+(G27*XLOOKUP(B27,'Supply Catalog'!$A$4:$A$13,'Supply Catalog'!$F$4:$F$13,0))+(F27*XLOOKUP(B27,'Supply Catalog'!$A$4:$A$13,'Supply Catalog'!$G$4:$G$13,0))),1)</x:f>
        <x:v>1.6</x:v>
      </x:c>
      <x:c r="K27" s="32" t="n">
        <x:f>ROUNDUP(J27*4.33,1)</x:f>
        <x:v>7</x:v>
      </x:c>
      <x:c r="L27" t="str">
        <x:f>XLOOKUP(A27,Contracts!$A$4:$A$15,Contracts!$G$4:$G$15,"")</x:f>
        <x:v>Normal</x:v>
      </x:c>
    </x:row>
    <x:row r="28">
      <x:c r="A28" t="str">
        <x:v>CityHall</x:v>
      </x:c>
      <x:c r="B28" t="str">
        <x:v>SUP005</x:v>
      </x:c>
      <x:c r="C28" t="str">
        <x:v>Paper Towels</x:v>
      </x:c>
      <x:c r="D28" t="str">
        <x:f>XLOOKUP(A28,Contracts!$A$4:$A$15,Contracts!$C$4:$C$15,"")</x:f>
        <x:v>Office</x:v>
      </x:c>
      <x:c r="E28" t="n">
        <x:f>XLOOKUP(A28,Contracts!$A$4:$A$15,Contracts!$J$4:$J$15,0)</x:f>
        <x:v>5</x:v>
      </x:c>
      <x:c r="F28" t="n">
        <x:f>XLOOKUP(A28,Contracts!$A$4:$A$15,Contracts!$F$4:$F$15,0)</x:f>
        <x:v>2</x:v>
      </x:c>
      <x:c r="G28" t="n">
        <x:f>XLOOKUP(A28,Contracts!$A$4:$A$15,Contracts!$D$4:$D$15,0)</x:f>
        <x:v>18000</x:v>
      </x:c>
      <x:c r="H28" t="n">
        <x:f>XLOOKUP(D28,Settings!$A$4:$A$10,Settings!$B$4:$B$10,1)</x:f>
        <x:v>1</x:v>
      </x:c>
      <x:c r="I28" t="n">
        <x:f>XLOOKUP(B28,'Supply Catalog'!$A$4:$A$13,'Supply Catalog'!$E$4:$E$13,0)</x:f>
        <x:v>0.2</x:v>
      </x:c>
      <x:c r="J28" s="32" t="n">
        <x:f>ROUNDUP(E28*((I28*H28)+(G28*XLOOKUP(B28,'Supply Catalog'!$A$4:$A$13,'Supply Catalog'!$F$4:$F$13,0))+(F28*XLOOKUP(B28,'Supply Catalog'!$A$4:$A$13,'Supply Catalog'!$G$4:$G$13,0))),1)</x:f>
        <x:v>3.2</x:v>
      </x:c>
      <x:c r="K28" s="32" t="n">
        <x:f>ROUNDUP(J28*4.33,1)</x:f>
        <x:v>13.9</x:v>
      </x:c>
      <x:c r="L28" t="str">
        <x:f>XLOOKUP(A28,Contracts!$A$4:$A$15,Contracts!$G$4:$G$15,"")</x:f>
        <x:v>Normal</x:v>
      </x:c>
    </x:row>
    <x:row r="29">
      <x:c r="A29" t="str">
        <x:v>CityHall</x:v>
      </x:c>
      <x:c r="B29" t="str">
        <x:v>SUP006</x:v>
      </x:c>
      <x:c r="C29" t="str">
        <x:v>Toilet Tissue</x:v>
      </x:c>
      <x:c r="D29" t="str">
        <x:f>XLOOKUP(A29,Contracts!$A$4:$A$15,Contracts!$C$4:$C$15,"")</x:f>
        <x:v>Office</x:v>
      </x:c>
      <x:c r="E29" t="n">
        <x:f>XLOOKUP(A29,Contracts!$A$4:$A$15,Contracts!$J$4:$J$15,0)</x:f>
        <x:v>5</x:v>
      </x:c>
      <x:c r="F29" t="n">
        <x:f>XLOOKUP(A29,Contracts!$A$4:$A$15,Contracts!$F$4:$F$15,0)</x:f>
        <x:v>2</x:v>
      </x:c>
      <x:c r="G29" t="n">
        <x:f>XLOOKUP(A29,Contracts!$A$4:$A$15,Contracts!$D$4:$D$15,0)</x:f>
        <x:v>18000</x:v>
      </x:c>
      <x:c r="H29" t="n">
        <x:f>XLOOKUP(D29,Settings!$A$4:$A$10,Settings!$B$4:$B$10,1)</x:f>
        <x:v>1</x:v>
      </x:c>
      <x:c r="I29" t="n">
        <x:f>XLOOKUP(B29,'Supply Catalog'!$A$4:$A$13,'Supply Catalog'!$E$4:$E$13,0)</x:f>
        <x:v>0.16</x:v>
      </x:c>
      <x:c r="J29" s="32" t="n">
        <x:f>ROUNDUP(E29*((I29*H29)+(G29*XLOOKUP(B29,'Supply Catalog'!$A$4:$A$13,'Supply Catalog'!$F$4:$F$13,0))+(F29*XLOOKUP(B29,'Supply Catalog'!$A$4:$A$13,'Supply Catalog'!$G$4:$G$13,0))),1)</x:f>
        <x:v>2.9</x:v>
      </x:c>
      <x:c r="K29" s="32" t="n">
        <x:f>ROUNDUP(J29*4.33,1)</x:f>
        <x:v>12.6</x:v>
      </x:c>
      <x:c r="L29" t="str">
        <x:f>XLOOKUP(A29,Contracts!$A$4:$A$15,Contracts!$G$4:$G$15,"")</x:f>
        <x:v>Normal</x:v>
      </x:c>
    </x:row>
    <x:row r="30">
      <x:c r="A30" t="str">
        <x:v>CityHall</x:v>
      </x:c>
      <x:c r="B30" t="str">
        <x:v>SUP007</x:v>
      </x:c>
      <x:c r="C30" t="str">
        <x:v>Microfiber Towels</x:v>
      </x:c>
      <x:c r="D30" t="str">
        <x:f>XLOOKUP(A30,Contracts!$A$4:$A$15,Contracts!$C$4:$C$15,"")</x:f>
        <x:v>Office</x:v>
      </x:c>
      <x:c r="E30" t="n">
        <x:f>XLOOKUP(A30,Contracts!$A$4:$A$15,Contracts!$J$4:$J$15,0)</x:f>
        <x:v>5</x:v>
      </x:c>
      <x:c r="F30" t="n">
        <x:f>XLOOKUP(A30,Contracts!$A$4:$A$15,Contracts!$F$4:$F$15,0)</x:f>
        <x:v>2</x:v>
      </x:c>
      <x:c r="G30" t="n">
        <x:f>XLOOKUP(A30,Contracts!$A$4:$A$15,Contracts!$D$4:$D$15,0)</x:f>
        <x:v>18000</x:v>
      </x:c>
      <x:c r="H30" t="n">
        <x:f>XLOOKUP(D30,Settings!$A$4:$A$10,Settings!$B$4:$B$10,1)</x:f>
        <x:v>1</x:v>
      </x:c>
      <x:c r="I30" t="n">
        <x:f>XLOOKUP(B30,'Supply Catalog'!$A$4:$A$13,'Supply Catalog'!$E$4:$E$13,0)</x:f>
        <x:v>0.06</x:v>
      </x:c>
      <x:c r="J30" s="32" t="n">
        <x:f>ROUNDUP(E30*((I30*H30)+(G30*XLOOKUP(B30,'Supply Catalog'!$A$4:$A$13,'Supply Catalog'!$F$4:$F$13,0))+(F30*XLOOKUP(B30,'Supply Catalog'!$A$4:$A$13,'Supply Catalog'!$G$4:$G$13,0))),1)</x:f>
        <x:v>1.4</x:v>
      </x:c>
      <x:c r="K30" s="32" t="n">
        <x:f>ROUNDUP(J30*4.33,1)</x:f>
        <x:v>6.1</x:v>
      </x:c>
      <x:c r="L30" t="str">
        <x:f>XLOOKUP(A30,Contracts!$A$4:$A$15,Contracts!$G$4:$G$15,"")</x:f>
        <x:v>Normal</x:v>
      </x:c>
    </x:row>
    <x:row r="31">
      <x:c r="A31" t="str">
        <x:v>CityHall</x:v>
      </x:c>
      <x:c r="B31" t="str">
        <x:v>SUP008</x:v>
      </x:c>
      <x:c r="C31" t="str">
        <x:v>Mop Heads</x:v>
      </x:c>
      <x:c r="D31" t="str">
        <x:f>XLOOKUP(A31,Contracts!$A$4:$A$15,Contracts!$C$4:$C$15,"")</x:f>
        <x:v>Office</x:v>
      </x:c>
      <x:c r="E31" t="n">
        <x:f>XLOOKUP(A31,Contracts!$A$4:$A$15,Contracts!$J$4:$J$15,0)</x:f>
        <x:v>5</x:v>
      </x:c>
      <x:c r="F31" t="n">
        <x:f>XLOOKUP(A31,Contracts!$A$4:$A$15,Contracts!$F$4:$F$15,0)</x:f>
        <x:v>2</x:v>
      </x:c>
      <x:c r="G31" t="n">
        <x:f>XLOOKUP(A31,Contracts!$A$4:$A$15,Contracts!$D$4:$D$15,0)</x:f>
        <x:v>18000</x:v>
      </x:c>
      <x:c r="H31" t="n">
        <x:f>XLOOKUP(D31,Settings!$A$4:$A$10,Settings!$B$4:$B$10,1)</x:f>
        <x:v>1</x:v>
      </x:c>
      <x:c r="I31" t="n">
        <x:f>XLOOKUP(B31,'Supply Catalog'!$A$4:$A$13,'Supply Catalog'!$E$4:$E$13,0)</x:f>
        <x:v>0.04</x:v>
      </x:c>
      <x:c r="J31" s="32" t="n">
        <x:f>ROUNDUP(E31*((I31*H31)+(G31*XLOOKUP(B31,'Supply Catalog'!$A$4:$A$13,'Supply Catalog'!$F$4:$F$13,0))+(F31*XLOOKUP(B31,'Supply Catalog'!$A$4:$A$13,'Supply Catalog'!$G$4:$G$13,0))),1)</x:f>
        <x:v>0.8</x:v>
      </x:c>
      <x:c r="K31" s="32" t="n">
        <x:f>ROUNDUP(J31*4.33,1)</x:f>
        <x:v>3.5</x:v>
      </x:c>
      <x:c r="L31" t="str">
        <x:f>XLOOKUP(A31,Contracts!$A$4:$A$15,Contracts!$G$4:$G$15,"")</x:f>
        <x:v>Normal</x:v>
      </x:c>
    </x:row>
    <x:row r="32">
      <x:c r="A32" t="str">
        <x:v>CityHall</x:v>
      </x:c>
      <x:c r="B32" t="str">
        <x:v>SUP009</x:v>
      </x:c>
      <x:c r="C32" t="str">
        <x:v>Floor Cleaner</x:v>
      </x:c>
      <x:c r="D32" t="str">
        <x:f>XLOOKUP(A32,Contracts!$A$4:$A$15,Contracts!$C$4:$C$15,"")</x:f>
        <x:v>Office</x:v>
      </x:c>
      <x:c r="E32" t="n">
        <x:f>XLOOKUP(A32,Contracts!$A$4:$A$15,Contracts!$J$4:$J$15,0)</x:f>
        <x:v>5</x:v>
      </x:c>
      <x:c r="F32" t="n">
        <x:f>XLOOKUP(A32,Contracts!$A$4:$A$15,Contracts!$F$4:$F$15,0)</x:f>
        <x:v>2</x:v>
      </x:c>
      <x:c r="G32" t="n">
        <x:f>XLOOKUP(A32,Contracts!$A$4:$A$15,Contracts!$D$4:$D$15,0)</x:f>
        <x:v>18000</x:v>
      </x:c>
      <x:c r="H32" t="n">
        <x:f>XLOOKUP(D32,Settings!$A$4:$A$10,Settings!$B$4:$B$10,1)</x:f>
        <x:v>1</x:v>
      </x:c>
      <x:c r="I32" t="n">
        <x:f>XLOOKUP(B32,'Supply Catalog'!$A$4:$A$13,'Supply Catalog'!$E$4:$E$13,0)</x:f>
        <x:v>0.1</x:v>
      </x:c>
      <x:c r="J32" s="32" t="n">
        <x:f>ROUNDUP(E32*((I32*H32)+(G32*XLOOKUP(B32,'Supply Catalog'!$A$4:$A$13,'Supply Catalog'!$F$4:$F$13,0))+(F32*XLOOKUP(B32,'Supply Catalog'!$A$4:$A$13,'Supply Catalog'!$G$4:$G$13,0))),1)</x:f>
        <x:v>2.6</x:v>
      </x:c>
      <x:c r="K32" s="32" t="n">
        <x:f>ROUNDUP(J32*4.33,1)</x:f>
        <x:v>11.3</x:v>
      </x:c>
      <x:c r="L32" t="str">
        <x:f>XLOOKUP(A32,Contracts!$A$4:$A$15,Contracts!$G$4:$G$15,"")</x:f>
        <x:v>Normal</x:v>
      </x:c>
    </x:row>
    <x:row r="33">
      <x:c r="A33" t="str">
        <x:v>CityHall</x:v>
      </x:c>
      <x:c r="B33" t="str">
        <x:v>SUP010</x:v>
      </x:c>
      <x:c r="C33" t="str">
        <x:v>Hand Soap Refill</x:v>
      </x:c>
      <x:c r="D33" t="str">
        <x:f>XLOOKUP(A33,Contracts!$A$4:$A$15,Contracts!$C$4:$C$15,"")</x:f>
        <x:v>Office</x:v>
      </x:c>
      <x:c r="E33" t="n">
        <x:f>XLOOKUP(A33,Contracts!$A$4:$A$15,Contracts!$J$4:$J$15,0)</x:f>
        <x:v>5</x:v>
      </x:c>
      <x:c r="F33" t="n">
        <x:f>XLOOKUP(A33,Contracts!$A$4:$A$15,Contracts!$F$4:$F$15,0)</x:f>
        <x:v>2</x:v>
      </x:c>
      <x:c r="G33" t="n">
        <x:f>XLOOKUP(A33,Contracts!$A$4:$A$15,Contracts!$D$4:$D$15,0)</x:f>
        <x:v>18000</x:v>
      </x:c>
      <x:c r="H33" t="n">
        <x:f>XLOOKUP(D33,Settings!$A$4:$A$10,Settings!$B$4:$B$10,1)</x:f>
        <x:v>1</x:v>
      </x:c>
      <x:c r="I33" t="n">
        <x:f>XLOOKUP(B33,'Supply Catalog'!$A$4:$A$13,'Supply Catalog'!$E$4:$E$13,0)</x:f>
        <x:v>0.1</x:v>
      </x:c>
      <x:c r="J33" s="32" t="n">
        <x:f>ROUNDUP(E33*((I33*H33)+(G33*XLOOKUP(B33,'Supply Catalog'!$A$4:$A$13,'Supply Catalog'!$F$4:$F$13,0))+(F33*XLOOKUP(B33,'Supply Catalog'!$A$4:$A$13,'Supply Catalog'!$G$4:$G$13,0))),1)</x:f>
        <x:v>1.9</x:v>
      </x:c>
      <x:c r="K33" s="32" t="n">
        <x:f>ROUNDUP(J33*4.33,1)</x:f>
        <x:v>8.3</x:v>
      </x:c>
      <x:c r="L33" t="str">
        <x:f>XLOOKUP(A33,Contracts!$A$4:$A$15,Contracts!$G$4:$G$15,"")</x:f>
        <x:v>Normal</x:v>
      </x:c>
    </x:row>
    <x:row r="34">
      <x:c r="A34" t="str">
        <x:v>Library</x:v>
      </x:c>
      <x:c r="B34" t="str">
        <x:v>SUP001</x:v>
      </x:c>
      <x:c r="C34" t="str">
        <x:v>Trash Liners 55 Gal</x:v>
      </x:c>
      <x:c r="D34" t="str">
        <x:f>XLOOKUP(A34,Contracts!$A$4:$A$15,Contracts!$C$4:$C$15,"")</x:f>
        <x:v>Light Office</x:v>
      </x:c>
      <x:c r="E34" t="n">
        <x:f>XLOOKUP(A34,Contracts!$A$4:$A$15,Contracts!$J$4:$J$15,0)</x:f>
        <x:v>5</x:v>
      </x:c>
      <x:c r="F34" t="n">
        <x:f>XLOOKUP(A34,Contracts!$A$4:$A$15,Contracts!$F$4:$F$15,0)</x:f>
        <x:v>1</x:v>
      </x:c>
      <x:c r="G34" t="n">
        <x:f>XLOOKUP(A34,Contracts!$A$4:$A$15,Contracts!$D$4:$D$15,0)</x:f>
        <x:v>14000</x:v>
      </x:c>
      <x:c r="H34" t="n">
        <x:f>XLOOKUP(D34,Settings!$A$4:$A$10,Settings!$B$4:$B$10,1)</x:f>
        <x:v>0.7</x:v>
      </x:c>
      <x:c r="I34" t="n">
        <x:f>XLOOKUP(B34,'Supply Catalog'!$A$4:$A$13,'Supply Catalog'!$E$4:$E$13,0)</x:f>
        <x:v>0.18</x:v>
      </x:c>
      <x:c r="J34" s="32" t="n">
        <x:f>ROUNDUP(E34*((I34*H34)+(G34*XLOOKUP(B34,'Supply Catalog'!$A$4:$A$13,'Supply Catalog'!$F$4:$F$13,0))+(F34*XLOOKUP(B34,'Supply Catalog'!$A$4:$A$13,'Supply Catalog'!$G$4:$G$13,0))),1)</x:f>
        <x:v>2</x:v>
      </x:c>
      <x:c r="K34" s="32" t="n">
        <x:f>ROUNDUP(J34*4.33,1)</x:f>
        <x:v>8.7</x:v>
      </x:c>
      <x:c r="L34" t="str">
        <x:f>XLOOKUP(A34,Contracts!$A$4:$A$15,Contracts!$G$4:$G$15,"")</x:f>
        <x:v>Normal</x:v>
      </x:c>
    </x:row>
    <x:row r="35">
      <x:c r="A35" t="str">
        <x:v>Library</x:v>
      </x:c>
      <x:c r="B35" t="str">
        <x:v>SUP002</x:v>
      </x:c>
      <x:c r="C35" t="str">
        <x:v>Nitrile Gloves</x:v>
      </x:c>
      <x:c r="D35" t="str">
        <x:f>XLOOKUP(A35,Contracts!$A$4:$A$15,Contracts!$C$4:$C$15,"")</x:f>
        <x:v>Light Office</x:v>
      </x:c>
      <x:c r="E35" t="n">
        <x:f>XLOOKUP(A35,Contracts!$A$4:$A$15,Contracts!$J$4:$J$15,0)</x:f>
        <x:v>5</x:v>
      </x:c>
      <x:c r="F35" t="n">
        <x:f>XLOOKUP(A35,Contracts!$A$4:$A$15,Contracts!$F$4:$F$15,0)</x:f>
        <x:v>1</x:v>
      </x:c>
      <x:c r="G35" t="n">
        <x:f>XLOOKUP(A35,Contracts!$A$4:$A$15,Contracts!$D$4:$D$15,0)</x:f>
        <x:v>14000</x:v>
      </x:c>
      <x:c r="H35" t="n">
        <x:f>XLOOKUP(D35,Settings!$A$4:$A$10,Settings!$B$4:$B$10,1)</x:f>
        <x:v>0.7</x:v>
      </x:c>
      <x:c r="I35" t="n">
        <x:f>XLOOKUP(B35,'Supply Catalog'!$A$4:$A$13,'Supply Catalog'!$E$4:$E$13,0)</x:f>
        <x:v>0.45</x:v>
      </x:c>
      <x:c r="J35" s="32" t="n">
        <x:f>ROUNDUP(E35*((I35*H35)+(G35*XLOOKUP(B35,'Supply Catalog'!$A$4:$A$13,'Supply Catalog'!$F$4:$F$13,0))+(F35*XLOOKUP(B35,'Supply Catalog'!$A$4:$A$13,'Supply Catalog'!$G$4:$G$13,0))),1)</x:f>
        <x:v>2.5</x:v>
      </x:c>
      <x:c r="K35" s="32" t="n">
        <x:f>ROUNDUP(J35*4.33,1)</x:f>
        <x:v>10.9</x:v>
      </x:c>
      <x:c r="L35" t="str">
        <x:f>XLOOKUP(A35,Contracts!$A$4:$A$15,Contracts!$G$4:$G$15,"")</x:f>
        <x:v>Normal</x:v>
      </x:c>
    </x:row>
    <x:row r="36">
      <x:c r="A36" t="str">
        <x:v>Library</x:v>
      </x:c>
      <x:c r="B36" t="str">
        <x:v>SUP003</x:v>
      </x:c>
      <x:c r="C36" t="str">
        <x:v>Disinfectant Concentrate</x:v>
      </x:c>
      <x:c r="D36" t="str">
        <x:f>XLOOKUP(A36,Contracts!$A$4:$A$15,Contracts!$C$4:$C$15,"")</x:f>
        <x:v>Light Office</x:v>
      </x:c>
      <x:c r="E36" t="n">
        <x:f>XLOOKUP(A36,Contracts!$A$4:$A$15,Contracts!$J$4:$J$15,0)</x:f>
        <x:v>5</x:v>
      </x:c>
      <x:c r="F36" t="n">
        <x:f>XLOOKUP(A36,Contracts!$A$4:$A$15,Contracts!$F$4:$F$15,0)</x:f>
        <x:v>1</x:v>
      </x:c>
      <x:c r="G36" t="n">
        <x:f>XLOOKUP(A36,Contracts!$A$4:$A$15,Contracts!$D$4:$D$15,0)</x:f>
        <x:v>14000</x:v>
      </x:c>
      <x:c r="H36" t="n">
        <x:f>XLOOKUP(D36,Settings!$A$4:$A$10,Settings!$B$4:$B$10,1)</x:f>
        <x:v>0.7</x:v>
      </x:c>
      <x:c r="I36" t="n">
        <x:f>XLOOKUP(B36,'Supply Catalog'!$A$4:$A$13,'Supply Catalog'!$E$4:$E$13,0)</x:f>
        <x:v>0.12</x:v>
      </x:c>
      <x:c r="J36" s="32" t="n">
        <x:f>ROUNDUP(E36*((I36*H36)+(G36*XLOOKUP(B36,'Supply Catalog'!$A$4:$A$13,'Supply Catalog'!$F$4:$F$13,0))+(F36*XLOOKUP(B36,'Supply Catalog'!$A$4:$A$13,'Supply Catalog'!$G$4:$G$13,0))),1)</x:f>
        <x:v>2.1</x:v>
      </x:c>
      <x:c r="K36" s="32" t="n">
        <x:f>ROUNDUP(J36*4.33,1)</x:f>
        <x:v>9.1</x:v>
      </x:c>
      <x:c r="L36" t="str">
        <x:f>XLOOKUP(A36,Contracts!$A$4:$A$15,Contracts!$G$4:$G$15,"")</x:f>
        <x:v>Normal</x:v>
      </x:c>
    </x:row>
    <x:row r="37">
      <x:c r="A37" t="str">
        <x:v>Library</x:v>
      </x:c>
      <x:c r="B37" t="str">
        <x:v>SUP004</x:v>
      </x:c>
      <x:c r="C37" t="str">
        <x:v>Glass Cleaner</x:v>
      </x:c>
      <x:c r="D37" t="str">
        <x:f>XLOOKUP(A37,Contracts!$A$4:$A$15,Contracts!$C$4:$C$15,"")</x:f>
        <x:v>Light Office</x:v>
      </x:c>
      <x:c r="E37" t="n">
        <x:f>XLOOKUP(A37,Contracts!$A$4:$A$15,Contracts!$J$4:$J$15,0)</x:f>
        <x:v>5</x:v>
      </x:c>
      <x:c r="F37" t="n">
        <x:f>XLOOKUP(A37,Contracts!$A$4:$A$15,Contracts!$F$4:$F$15,0)</x:f>
        <x:v>1</x:v>
      </x:c>
      <x:c r="G37" t="n">
        <x:f>XLOOKUP(A37,Contracts!$A$4:$A$15,Contracts!$D$4:$D$15,0)</x:f>
        <x:v>14000</x:v>
      </x:c>
      <x:c r="H37" t="n">
        <x:f>XLOOKUP(D37,Settings!$A$4:$A$10,Settings!$B$4:$B$10,1)</x:f>
        <x:v>0.7</x:v>
      </x:c>
      <x:c r="I37" t="n">
        <x:f>XLOOKUP(B37,'Supply Catalog'!$A$4:$A$13,'Supply Catalog'!$E$4:$E$13,0)</x:f>
        <x:v>0.08</x:v>
      </x:c>
      <x:c r="J37" s="32" t="n">
        <x:f>ROUNDUP(E37*((I37*H37)+(G37*XLOOKUP(B37,'Supply Catalog'!$A$4:$A$13,'Supply Catalog'!$F$4:$F$13,0))+(F37*XLOOKUP(B37,'Supply Catalog'!$A$4:$A$13,'Supply Catalog'!$G$4:$G$13,0))),1)</x:f>
        <x:v>1.2</x:v>
      </x:c>
      <x:c r="K37" s="32" t="n">
        <x:f>ROUNDUP(J37*4.33,1)</x:f>
        <x:v>5.2</x:v>
      </x:c>
      <x:c r="L37" t="str">
        <x:f>XLOOKUP(A37,Contracts!$A$4:$A$15,Contracts!$G$4:$G$15,"")</x:f>
        <x:v>Normal</x:v>
      </x:c>
    </x:row>
    <x:row r="38">
      <x:c r="A38" t="str">
        <x:v>Library</x:v>
      </x:c>
      <x:c r="B38" t="str">
        <x:v>SUP005</x:v>
      </x:c>
      <x:c r="C38" t="str">
        <x:v>Paper Towels</x:v>
      </x:c>
      <x:c r="D38" t="str">
        <x:f>XLOOKUP(A38,Contracts!$A$4:$A$15,Contracts!$C$4:$C$15,"")</x:f>
        <x:v>Light Office</x:v>
      </x:c>
      <x:c r="E38" t="n">
        <x:f>XLOOKUP(A38,Contracts!$A$4:$A$15,Contracts!$J$4:$J$15,0)</x:f>
        <x:v>5</x:v>
      </x:c>
      <x:c r="F38" t="n">
        <x:f>XLOOKUP(A38,Contracts!$A$4:$A$15,Contracts!$F$4:$F$15,0)</x:f>
        <x:v>1</x:v>
      </x:c>
      <x:c r="G38" t="n">
        <x:f>XLOOKUP(A38,Contracts!$A$4:$A$15,Contracts!$D$4:$D$15,0)</x:f>
        <x:v>14000</x:v>
      </x:c>
      <x:c r="H38" t="n">
        <x:f>XLOOKUP(D38,Settings!$A$4:$A$10,Settings!$B$4:$B$10,1)</x:f>
        <x:v>0.7</x:v>
      </x:c>
      <x:c r="I38" t="n">
        <x:f>XLOOKUP(B38,'Supply Catalog'!$A$4:$A$13,'Supply Catalog'!$E$4:$E$13,0)</x:f>
        <x:v>0.2</x:v>
      </x:c>
      <x:c r="J38" s="32" t="n">
        <x:f>ROUNDUP(E38*((I38*H38)+(G38*XLOOKUP(B38,'Supply Catalog'!$A$4:$A$13,'Supply Catalog'!$F$4:$F$13,0))+(F38*XLOOKUP(B38,'Supply Catalog'!$A$4:$A$13,'Supply Catalog'!$G$4:$G$13,0))),1)</x:f>
        <x:v>2.4</x:v>
      </x:c>
      <x:c r="K38" s="32" t="n">
        <x:f>ROUNDUP(J38*4.33,1)</x:f>
        <x:v>10.4</x:v>
      </x:c>
      <x:c r="L38" t="str">
        <x:f>XLOOKUP(A38,Contracts!$A$4:$A$15,Contracts!$G$4:$G$15,"")</x:f>
        <x:v>Normal</x:v>
      </x:c>
    </x:row>
    <x:row r="39">
      <x:c r="A39" t="str">
        <x:v>Library</x:v>
      </x:c>
      <x:c r="B39" t="str">
        <x:v>SUP006</x:v>
      </x:c>
      <x:c r="C39" t="str">
        <x:v>Toilet Tissue</x:v>
      </x:c>
      <x:c r="D39" t="str">
        <x:f>XLOOKUP(A39,Contracts!$A$4:$A$15,Contracts!$C$4:$C$15,"")</x:f>
        <x:v>Light Office</x:v>
      </x:c>
      <x:c r="E39" t="n">
        <x:f>XLOOKUP(A39,Contracts!$A$4:$A$15,Contracts!$J$4:$J$15,0)</x:f>
        <x:v>5</x:v>
      </x:c>
      <x:c r="F39" t="n">
        <x:f>XLOOKUP(A39,Contracts!$A$4:$A$15,Contracts!$F$4:$F$15,0)</x:f>
        <x:v>1</x:v>
      </x:c>
      <x:c r="G39" t="n">
        <x:f>XLOOKUP(A39,Contracts!$A$4:$A$15,Contracts!$D$4:$D$15,0)</x:f>
        <x:v>14000</x:v>
      </x:c>
      <x:c r="H39" t="n">
        <x:f>XLOOKUP(D39,Settings!$A$4:$A$10,Settings!$B$4:$B$10,1)</x:f>
        <x:v>0.7</x:v>
      </x:c>
      <x:c r="I39" t="n">
        <x:f>XLOOKUP(B39,'Supply Catalog'!$A$4:$A$13,'Supply Catalog'!$E$4:$E$13,0)</x:f>
        <x:v>0.16</x:v>
      </x:c>
      <x:c r="J39" s="32" t="n">
        <x:f>ROUNDUP(E39*((I39*H39)+(G39*XLOOKUP(B39,'Supply Catalog'!$A$4:$A$13,'Supply Catalog'!$F$4:$F$13,0))+(F39*XLOOKUP(B39,'Supply Catalog'!$A$4:$A$13,'Supply Catalog'!$G$4:$G$13,0))),1)</x:f>
        <x:v>2.1</x:v>
      </x:c>
      <x:c r="K39" s="32" t="n">
        <x:f>ROUNDUP(J39*4.33,1)</x:f>
        <x:v>9.1</x:v>
      </x:c>
      <x:c r="L39" t="str">
        <x:f>XLOOKUP(A39,Contracts!$A$4:$A$15,Contracts!$G$4:$G$15,"")</x:f>
        <x:v>Normal</x:v>
      </x:c>
    </x:row>
    <x:row r="40">
      <x:c r="A40" t="str">
        <x:v>Library</x:v>
      </x:c>
      <x:c r="B40" t="str">
        <x:v>SUP007</x:v>
      </x:c>
      <x:c r="C40" t="str">
        <x:v>Microfiber Towels</x:v>
      </x:c>
      <x:c r="D40" t="str">
        <x:f>XLOOKUP(A40,Contracts!$A$4:$A$15,Contracts!$C$4:$C$15,"")</x:f>
        <x:v>Light Office</x:v>
      </x:c>
      <x:c r="E40" t="n">
        <x:f>XLOOKUP(A40,Contracts!$A$4:$A$15,Contracts!$J$4:$J$15,0)</x:f>
        <x:v>5</x:v>
      </x:c>
      <x:c r="F40" t="n">
        <x:f>XLOOKUP(A40,Contracts!$A$4:$A$15,Contracts!$F$4:$F$15,0)</x:f>
        <x:v>1</x:v>
      </x:c>
      <x:c r="G40" t="n">
        <x:f>XLOOKUP(A40,Contracts!$A$4:$A$15,Contracts!$D$4:$D$15,0)</x:f>
        <x:v>14000</x:v>
      </x:c>
      <x:c r="H40" t="n">
        <x:f>XLOOKUP(D40,Settings!$A$4:$A$10,Settings!$B$4:$B$10,1)</x:f>
        <x:v>0.7</x:v>
      </x:c>
      <x:c r="I40" t="n">
        <x:f>XLOOKUP(B40,'Supply Catalog'!$A$4:$A$13,'Supply Catalog'!$E$4:$E$13,0)</x:f>
        <x:v>0.06</x:v>
      </x:c>
      <x:c r="J40" s="32" t="n">
        <x:f>ROUNDUP(E40*((I40*H40)+(G40*XLOOKUP(B40,'Supply Catalog'!$A$4:$A$13,'Supply Catalog'!$F$4:$F$13,0))+(F40*XLOOKUP(B40,'Supply Catalog'!$A$4:$A$13,'Supply Catalog'!$G$4:$G$13,0))),1)</x:f>
        <x:v>0.9</x:v>
      </x:c>
      <x:c r="K40" s="32" t="n">
        <x:f>ROUNDUP(J40*4.33,1)</x:f>
        <x:v>3.9</x:v>
      </x:c>
      <x:c r="L40" t="str">
        <x:f>XLOOKUP(A40,Contracts!$A$4:$A$15,Contracts!$G$4:$G$15,"")</x:f>
        <x:v>Normal</x:v>
      </x:c>
    </x:row>
    <x:row r="41">
      <x:c r="A41" t="str">
        <x:v>Library</x:v>
      </x:c>
      <x:c r="B41" t="str">
        <x:v>SUP008</x:v>
      </x:c>
      <x:c r="C41" t="str">
        <x:v>Mop Heads</x:v>
      </x:c>
      <x:c r="D41" t="str">
        <x:f>XLOOKUP(A41,Contracts!$A$4:$A$15,Contracts!$C$4:$C$15,"")</x:f>
        <x:v>Light Office</x:v>
      </x:c>
      <x:c r="E41" t="n">
        <x:f>XLOOKUP(A41,Contracts!$A$4:$A$15,Contracts!$J$4:$J$15,0)</x:f>
        <x:v>5</x:v>
      </x:c>
      <x:c r="F41" t="n">
        <x:f>XLOOKUP(A41,Contracts!$A$4:$A$15,Contracts!$F$4:$F$15,0)</x:f>
        <x:v>1</x:v>
      </x:c>
      <x:c r="G41" t="n">
        <x:f>XLOOKUP(A41,Contracts!$A$4:$A$15,Contracts!$D$4:$D$15,0)</x:f>
        <x:v>14000</x:v>
      </x:c>
      <x:c r="H41" t="n">
        <x:f>XLOOKUP(D41,Settings!$A$4:$A$10,Settings!$B$4:$B$10,1)</x:f>
        <x:v>0.7</x:v>
      </x:c>
      <x:c r="I41" t="n">
        <x:f>XLOOKUP(B41,'Supply Catalog'!$A$4:$A$13,'Supply Catalog'!$E$4:$E$13,0)</x:f>
        <x:v>0.04</x:v>
      </x:c>
      <x:c r="J41" s="32" t="n">
        <x:f>ROUNDUP(E41*((I41*H41)+(G41*XLOOKUP(B41,'Supply Catalog'!$A$4:$A$13,'Supply Catalog'!$F$4:$F$13,0))+(F41*XLOOKUP(B41,'Supply Catalog'!$A$4:$A$13,'Supply Catalog'!$G$4:$G$13,0))),1)</x:f>
        <x:v>0.6</x:v>
      </x:c>
      <x:c r="K41" s="32" t="n">
        <x:f>ROUNDUP(J41*4.33,1)</x:f>
        <x:v>2.6</x:v>
      </x:c>
      <x:c r="L41" t="str">
        <x:f>XLOOKUP(A41,Contracts!$A$4:$A$15,Contracts!$G$4:$G$15,"")</x:f>
        <x:v>Normal</x:v>
      </x:c>
    </x:row>
    <x:row r="42">
      <x:c r="A42" t="str">
        <x:v>Library</x:v>
      </x:c>
      <x:c r="B42" t="str">
        <x:v>SUP009</x:v>
      </x:c>
      <x:c r="C42" t="str">
        <x:v>Floor Cleaner</x:v>
      </x:c>
      <x:c r="D42" t="str">
        <x:f>XLOOKUP(A42,Contracts!$A$4:$A$15,Contracts!$C$4:$C$15,"")</x:f>
        <x:v>Light Office</x:v>
      </x:c>
      <x:c r="E42" t="n">
        <x:f>XLOOKUP(A42,Contracts!$A$4:$A$15,Contracts!$J$4:$J$15,0)</x:f>
        <x:v>5</x:v>
      </x:c>
      <x:c r="F42" t="n">
        <x:f>XLOOKUP(A42,Contracts!$A$4:$A$15,Contracts!$F$4:$F$15,0)</x:f>
        <x:v>1</x:v>
      </x:c>
      <x:c r="G42" t="n">
        <x:f>XLOOKUP(A42,Contracts!$A$4:$A$15,Contracts!$D$4:$D$15,0)</x:f>
        <x:v>14000</x:v>
      </x:c>
      <x:c r="H42" t="n">
        <x:f>XLOOKUP(D42,Settings!$A$4:$A$10,Settings!$B$4:$B$10,1)</x:f>
        <x:v>0.7</x:v>
      </x:c>
      <x:c r="I42" t="n">
        <x:f>XLOOKUP(B42,'Supply Catalog'!$A$4:$A$13,'Supply Catalog'!$E$4:$E$13,0)</x:f>
        <x:v>0.1</x:v>
      </x:c>
      <x:c r="J42" s="32" t="n">
        <x:f>ROUNDUP(E42*((I42*H42)+(G42*XLOOKUP(B42,'Supply Catalog'!$A$4:$A$13,'Supply Catalog'!$F$4:$F$13,0))+(F42*XLOOKUP(B42,'Supply Catalog'!$A$4:$A$13,'Supply Catalog'!$G$4:$G$13,0))),1)</x:f>
        <x:v>1.9</x:v>
      </x:c>
      <x:c r="K42" s="32" t="n">
        <x:f>ROUNDUP(J42*4.33,1)</x:f>
        <x:v>8.3</x:v>
      </x:c>
      <x:c r="L42" t="str">
        <x:f>XLOOKUP(A42,Contracts!$A$4:$A$15,Contracts!$G$4:$G$15,"")</x:f>
        <x:v>Normal</x:v>
      </x:c>
    </x:row>
    <x:row r="43">
      <x:c r="A43" t="str">
        <x:v>Library</x:v>
      </x:c>
      <x:c r="B43" t="str">
        <x:v>SUP010</x:v>
      </x:c>
      <x:c r="C43" t="str">
        <x:v>Hand Soap Refill</x:v>
      </x:c>
      <x:c r="D43" t="str">
        <x:f>XLOOKUP(A43,Contracts!$A$4:$A$15,Contracts!$C$4:$C$15,"")</x:f>
        <x:v>Light Office</x:v>
      </x:c>
      <x:c r="E43" t="n">
        <x:f>XLOOKUP(A43,Contracts!$A$4:$A$15,Contracts!$J$4:$J$15,0)</x:f>
        <x:v>5</x:v>
      </x:c>
      <x:c r="F43" t="n">
        <x:f>XLOOKUP(A43,Contracts!$A$4:$A$15,Contracts!$F$4:$F$15,0)</x:f>
        <x:v>1</x:v>
      </x:c>
      <x:c r="G43" t="n">
        <x:f>XLOOKUP(A43,Contracts!$A$4:$A$15,Contracts!$D$4:$D$15,0)</x:f>
        <x:v>14000</x:v>
      </x:c>
      <x:c r="H43" t="n">
        <x:f>XLOOKUP(D43,Settings!$A$4:$A$10,Settings!$B$4:$B$10,1)</x:f>
        <x:v>0.7</x:v>
      </x:c>
      <x:c r="I43" t="n">
        <x:f>XLOOKUP(B43,'Supply Catalog'!$A$4:$A$13,'Supply Catalog'!$E$4:$E$13,0)</x:f>
        <x:v>0.1</x:v>
      </x:c>
      <x:c r="J43" s="32" t="n">
        <x:f>ROUNDUP(E43*((I43*H43)+(G43*XLOOKUP(B43,'Supply Catalog'!$A$4:$A$13,'Supply Catalog'!$F$4:$F$13,0))+(F43*XLOOKUP(B43,'Supply Catalog'!$A$4:$A$13,'Supply Catalog'!$G$4:$G$13,0))),1)</x:f>
        <x:v>1.4</x:v>
      </x:c>
      <x:c r="K43" s="32" t="n">
        <x:f>ROUNDUP(J43*4.33,1)</x:f>
        <x:v>6.1</x:v>
      </x:c>
      <x:c r="L43" t="str">
        <x:f>XLOOKUP(A43,Contracts!$A$4:$A$15,Contracts!$G$4:$G$15,"")</x:f>
        <x:v>Normal</x:v>
      </x:c>
    </x:row>
    <x:row r="44">
      <x:c r="A44" t="str">
        <x:v>FireStation</x:v>
      </x:c>
      <x:c r="B44" t="str">
        <x:v>SUP001</x:v>
      </x:c>
      <x:c r="C44" t="str">
        <x:v>Trash Liners 55 Gal</x:v>
      </x:c>
      <x:c r="D44" t="str">
        <x:f>XLOOKUP(A44,Contracts!$A$4:$A$15,Contracts!$C$4:$C$15,"")</x:f>
        <x:v>Industrial</x:v>
      </x:c>
      <x:c r="E44" t="n">
        <x:f>XLOOKUP(A44,Contracts!$A$4:$A$15,Contracts!$J$4:$J$15,0)</x:f>
        <x:v>5</x:v>
      </x:c>
      <x:c r="F44" t="n">
        <x:f>XLOOKUP(A44,Contracts!$A$4:$A$15,Contracts!$F$4:$F$15,0)</x:f>
        <x:v>1</x:v>
      </x:c>
      <x:c r="G44" t="n">
        <x:f>XLOOKUP(A44,Contracts!$A$4:$A$15,Contracts!$D$4:$D$15,0)</x:f>
        <x:v>9000</x:v>
      </x:c>
      <x:c r="H44" t="n">
        <x:f>XLOOKUP(D44,Settings!$A$4:$A$10,Settings!$B$4:$B$10,1)</x:f>
        <x:v>1.7</x:v>
      </x:c>
      <x:c r="I44" t="n">
        <x:f>XLOOKUP(B44,'Supply Catalog'!$A$4:$A$13,'Supply Catalog'!$E$4:$E$13,0)</x:f>
        <x:v>0.18</x:v>
      </x:c>
      <x:c r="J44" s="32" t="n">
        <x:f>ROUNDUP(E44*((I44*H44)+(G44*XLOOKUP(B44,'Supply Catalog'!$A$4:$A$13,'Supply Catalog'!$F$4:$F$13,0))+(F44*XLOOKUP(B44,'Supply Catalog'!$A$4:$A$13,'Supply Catalog'!$G$4:$G$13,0))),1)</x:f>
        <x:v>2.5</x:v>
      </x:c>
      <x:c r="K44" s="32" t="n">
        <x:f>ROUNDUP(J44*4.33,1)</x:f>
        <x:v>10.9</x:v>
      </x:c>
      <x:c r="L44" t="str">
        <x:f>XLOOKUP(A44,Contracts!$A$4:$A$15,Contracts!$G$4:$G$15,"")</x:f>
        <x:v>High</x:v>
      </x:c>
    </x:row>
    <x:row r="45">
      <x:c r="A45" t="str">
        <x:v>FireStation</x:v>
      </x:c>
      <x:c r="B45" t="str">
        <x:v>SUP002</x:v>
      </x:c>
      <x:c r="C45" t="str">
        <x:v>Nitrile Gloves</x:v>
      </x:c>
      <x:c r="D45" t="str">
        <x:f>XLOOKUP(A45,Contracts!$A$4:$A$15,Contracts!$C$4:$C$15,"")</x:f>
        <x:v>Industrial</x:v>
      </x:c>
      <x:c r="E45" t="n">
        <x:f>XLOOKUP(A45,Contracts!$A$4:$A$15,Contracts!$J$4:$J$15,0)</x:f>
        <x:v>5</x:v>
      </x:c>
      <x:c r="F45" t="n">
        <x:f>XLOOKUP(A45,Contracts!$A$4:$A$15,Contracts!$F$4:$F$15,0)</x:f>
        <x:v>1</x:v>
      </x:c>
      <x:c r="G45" t="n">
        <x:f>XLOOKUP(A45,Contracts!$A$4:$A$15,Contracts!$D$4:$D$15,0)</x:f>
        <x:v>9000</x:v>
      </x:c>
      <x:c r="H45" t="n">
        <x:f>XLOOKUP(D45,Settings!$A$4:$A$10,Settings!$B$4:$B$10,1)</x:f>
        <x:v>1.7</x:v>
      </x:c>
      <x:c r="I45" t="n">
        <x:f>XLOOKUP(B45,'Supply Catalog'!$A$4:$A$13,'Supply Catalog'!$E$4:$E$13,0)</x:f>
        <x:v>0.45</x:v>
      </x:c>
      <x:c r="J45" s="32" t="n">
        <x:f>ROUNDUP(E45*((I45*H45)+(G45*XLOOKUP(B45,'Supply Catalog'!$A$4:$A$13,'Supply Catalog'!$F$4:$F$13,0))+(F45*XLOOKUP(B45,'Supply Catalog'!$A$4:$A$13,'Supply Catalog'!$G$4:$G$13,0))),1)</x:f>
        <x:v>4.6</x:v>
      </x:c>
      <x:c r="K45" s="32" t="n">
        <x:f>ROUNDUP(J45*4.33,1)</x:f>
        <x:v>20</x:v>
      </x:c>
      <x:c r="L45" t="str">
        <x:f>XLOOKUP(A45,Contracts!$A$4:$A$15,Contracts!$G$4:$G$15,"")</x:f>
        <x:v>High</x:v>
      </x:c>
    </x:row>
    <x:row r="46">
      <x:c r="A46" t="str">
        <x:v>FireStation</x:v>
      </x:c>
      <x:c r="B46" t="str">
        <x:v>SUP003</x:v>
      </x:c>
      <x:c r="C46" t="str">
        <x:v>Disinfectant Concentrate</x:v>
      </x:c>
      <x:c r="D46" t="str">
        <x:f>XLOOKUP(A46,Contracts!$A$4:$A$15,Contracts!$C$4:$C$15,"")</x:f>
        <x:v>Industrial</x:v>
      </x:c>
      <x:c r="E46" t="n">
        <x:f>XLOOKUP(A46,Contracts!$A$4:$A$15,Contracts!$J$4:$J$15,0)</x:f>
        <x:v>5</x:v>
      </x:c>
      <x:c r="F46" t="n">
        <x:f>XLOOKUP(A46,Contracts!$A$4:$A$15,Contracts!$F$4:$F$15,0)</x:f>
        <x:v>1</x:v>
      </x:c>
      <x:c r="G46" t="n">
        <x:f>XLOOKUP(A46,Contracts!$A$4:$A$15,Contracts!$D$4:$D$15,0)</x:f>
        <x:v>9000</x:v>
      </x:c>
      <x:c r="H46" t="n">
        <x:f>XLOOKUP(D46,Settings!$A$4:$A$10,Settings!$B$4:$B$10,1)</x:f>
        <x:v>1.7</x:v>
      </x:c>
      <x:c r="I46" t="n">
        <x:f>XLOOKUP(B46,'Supply Catalog'!$A$4:$A$13,'Supply Catalog'!$E$4:$E$13,0)</x:f>
        <x:v>0.12</x:v>
      </x:c>
      <x:c r="J46" s="32" t="n">
        <x:f>ROUNDUP(E46*((I46*H46)+(G46*XLOOKUP(B46,'Supply Catalog'!$A$4:$A$13,'Supply Catalog'!$F$4:$F$13,0))+(F46*XLOOKUP(B46,'Supply Catalog'!$A$4:$A$13,'Supply Catalog'!$G$4:$G$13,0))),1)</x:f>
        <x:v>2.2</x:v>
      </x:c>
      <x:c r="K46" s="32" t="n">
        <x:f>ROUNDUP(J46*4.33,1)</x:f>
        <x:v>9.6</x:v>
      </x:c>
      <x:c r="L46" t="str">
        <x:f>XLOOKUP(A46,Contracts!$A$4:$A$15,Contracts!$G$4:$G$15,"")</x:f>
        <x:v>High</x:v>
      </x:c>
    </x:row>
    <x:row r="47">
      <x:c r="A47" t="str">
        <x:v>FireStation</x:v>
      </x:c>
      <x:c r="B47" t="str">
        <x:v>SUP004</x:v>
      </x:c>
      <x:c r="C47" t="str">
        <x:v>Glass Cleaner</x:v>
      </x:c>
      <x:c r="D47" t="str">
        <x:f>XLOOKUP(A47,Contracts!$A$4:$A$15,Contracts!$C$4:$C$15,"")</x:f>
        <x:v>Industrial</x:v>
      </x:c>
      <x:c r="E47" t="n">
        <x:f>XLOOKUP(A47,Contracts!$A$4:$A$15,Contracts!$J$4:$J$15,0)</x:f>
        <x:v>5</x:v>
      </x:c>
      <x:c r="F47" t="n">
        <x:f>XLOOKUP(A47,Contracts!$A$4:$A$15,Contracts!$F$4:$F$15,0)</x:f>
        <x:v>1</x:v>
      </x:c>
      <x:c r="G47" t="n">
        <x:f>XLOOKUP(A47,Contracts!$A$4:$A$15,Contracts!$D$4:$D$15,0)</x:f>
        <x:v>9000</x:v>
      </x:c>
      <x:c r="H47" t="n">
        <x:f>XLOOKUP(D47,Settings!$A$4:$A$10,Settings!$B$4:$B$10,1)</x:f>
        <x:v>1.7</x:v>
      </x:c>
      <x:c r="I47" t="n">
        <x:f>XLOOKUP(B47,'Supply Catalog'!$A$4:$A$13,'Supply Catalog'!$E$4:$E$13,0)</x:f>
        <x:v>0.08</x:v>
      </x:c>
      <x:c r="J47" s="32" t="n">
        <x:f>ROUNDUP(E47*((I47*H47)+(G47*XLOOKUP(B47,'Supply Catalog'!$A$4:$A$13,'Supply Catalog'!$F$4:$F$13,0))+(F47*XLOOKUP(B47,'Supply Catalog'!$A$4:$A$13,'Supply Catalog'!$G$4:$G$13,0))),1)</x:f>
        <x:v>1.3</x:v>
      </x:c>
      <x:c r="K47" s="32" t="n">
        <x:f>ROUNDUP(J47*4.33,1)</x:f>
        <x:v>5.7</x:v>
      </x:c>
      <x:c r="L47" t="str">
        <x:f>XLOOKUP(A47,Contracts!$A$4:$A$15,Contracts!$G$4:$G$15,"")</x:f>
        <x:v>High</x:v>
      </x:c>
    </x:row>
    <x:row r="48">
      <x:c r="A48" t="str">
        <x:v>FireStation</x:v>
      </x:c>
      <x:c r="B48" t="str">
        <x:v>SUP005</x:v>
      </x:c>
      <x:c r="C48" t="str">
        <x:v>Paper Towels</x:v>
      </x:c>
      <x:c r="D48" t="str">
        <x:f>XLOOKUP(A48,Contracts!$A$4:$A$15,Contracts!$C$4:$C$15,"")</x:f>
        <x:v>Industrial</x:v>
      </x:c>
      <x:c r="E48" t="n">
        <x:f>XLOOKUP(A48,Contracts!$A$4:$A$15,Contracts!$J$4:$J$15,0)</x:f>
        <x:v>5</x:v>
      </x:c>
      <x:c r="F48" t="n">
        <x:f>XLOOKUP(A48,Contracts!$A$4:$A$15,Contracts!$F$4:$F$15,0)</x:f>
        <x:v>1</x:v>
      </x:c>
      <x:c r="G48" t="n">
        <x:f>XLOOKUP(A48,Contracts!$A$4:$A$15,Contracts!$D$4:$D$15,0)</x:f>
        <x:v>9000</x:v>
      </x:c>
      <x:c r="H48" t="n">
        <x:f>XLOOKUP(D48,Settings!$A$4:$A$10,Settings!$B$4:$B$10,1)</x:f>
        <x:v>1.7</x:v>
      </x:c>
      <x:c r="I48" t="n">
        <x:f>XLOOKUP(B48,'Supply Catalog'!$A$4:$A$13,'Supply Catalog'!$E$4:$E$13,0)</x:f>
        <x:v>0.2</x:v>
      </x:c>
      <x:c r="J48" s="32" t="n">
        <x:f>ROUNDUP(E48*((I48*H48)+(G48*XLOOKUP(B48,'Supply Catalog'!$A$4:$A$13,'Supply Catalog'!$F$4:$F$13,0))+(F48*XLOOKUP(B48,'Supply Catalog'!$A$4:$A$13,'Supply Catalog'!$G$4:$G$13,0))),1)</x:f>
        <x:v>2.9</x:v>
      </x:c>
      <x:c r="K48" s="32" t="n">
        <x:f>ROUNDUP(J48*4.33,1)</x:f>
        <x:v>12.6</x:v>
      </x:c>
      <x:c r="L48" t="str">
        <x:f>XLOOKUP(A48,Contracts!$A$4:$A$15,Contracts!$G$4:$G$15,"")</x:f>
        <x:v>High</x:v>
      </x:c>
    </x:row>
    <x:row r="49">
      <x:c r="A49" t="str">
        <x:v>FireStation</x:v>
      </x:c>
      <x:c r="B49" t="str">
        <x:v>SUP006</x:v>
      </x:c>
      <x:c r="C49" t="str">
        <x:v>Toilet Tissue</x:v>
      </x:c>
      <x:c r="D49" t="str">
        <x:f>XLOOKUP(A49,Contracts!$A$4:$A$15,Contracts!$C$4:$C$15,"")</x:f>
        <x:v>Industrial</x:v>
      </x:c>
      <x:c r="E49" t="n">
        <x:f>XLOOKUP(A49,Contracts!$A$4:$A$15,Contracts!$J$4:$J$15,0)</x:f>
        <x:v>5</x:v>
      </x:c>
      <x:c r="F49" t="n">
        <x:f>XLOOKUP(A49,Contracts!$A$4:$A$15,Contracts!$F$4:$F$15,0)</x:f>
        <x:v>1</x:v>
      </x:c>
      <x:c r="G49" t="n">
        <x:f>XLOOKUP(A49,Contracts!$A$4:$A$15,Contracts!$D$4:$D$15,0)</x:f>
        <x:v>9000</x:v>
      </x:c>
      <x:c r="H49" t="n">
        <x:f>XLOOKUP(D49,Settings!$A$4:$A$10,Settings!$B$4:$B$10,1)</x:f>
        <x:v>1.7</x:v>
      </x:c>
      <x:c r="I49" t="n">
        <x:f>XLOOKUP(B49,'Supply Catalog'!$A$4:$A$13,'Supply Catalog'!$E$4:$E$13,0)</x:f>
        <x:v>0.16</x:v>
      </x:c>
      <x:c r="J49" s="32" t="n">
        <x:f>ROUNDUP(E49*((I49*H49)+(G49*XLOOKUP(B49,'Supply Catalog'!$A$4:$A$13,'Supply Catalog'!$F$4:$F$13,0))+(F49*XLOOKUP(B49,'Supply Catalog'!$A$4:$A$13,'Supply Catalog'!$G$4:$G$13,0))),1)</x:f>
        <x:v>2.4</x:v>
      </x:c>
      <x:c r="K49" s="32" t="n">
        <x:f>ROUNDUP(J49*4.33,1)</x:f>
        <x:v>10.4</x:v>
      </x:c>
      <x:c r="L49" t="str">
        <x:f>XLOOKUP(A49,Contracts!$A$4:$A$15,Contracts!$G$4:$G$15,"")</x:f>
        <x:v>High</x:v>
      </x:c>
    </x:row>
    <x:row r="50">
      <x:c r="A50" t="str">
        <x:v>FireStation</x:v>
      </x:c>
      <x:c r="B50" t="str">
        <x:v>SUP007</x:v>
      </x:c>
      <x:c r="C50" t="str">
        <x:v>Microfiber Towels</x:v>
      </x:c>
      <x:c r="D50" t="str">
        <x:f>XLOOKUP(A50,Contracts!$A$4:$A$15,Contracts!$C$4:$C$15,"")</x:f>
        <x:v>Industrial</x:v>
      </x:c>
      <x:c r="E50" t="n">
        <x:f>XLOOKUP(A50,Contracts!$A$4:$A$15,Contracts!$J$4:$J$15,0)</x:f>
        <x:v>5</x:v>
      </x:c>
      <x:c r="F50" t="n">
        <x:f>XLOOKUP(A50,Contracts!$A$4:$A$15,Contracts!$F$4:$F$15,0)</x:f>
        <x:v>1</x:v>
      </x:c>
      <x:c r="G50" t="n">
        <x:f>XLOOKUP(A50,Contracts!$A$4:$A$15,Contracts!$D$4:$D$15,0)</x:f>
        <x:v>9000</x:v>
      </x:c>
      <x:c r="H50" t="n">
        <x:f>XLOOKUP(D50,Settings!$A$4:$A$10,Settings!$B$4:$B$10,1)</x:f>
        <x:v>1.7</x:v>
      </x:c>
      <x:c r="I50" t="n">
        <x:f>XLOOKUP(B50,'Supply Catalog'!$A$4:$A$13,'Supply Catalog'!$E$4:$E$13,0)</x:f>
        <x:v>0.06</x:v>
      </x:c>
      <x:c r="J50" s="32" t="n">
        <x:f>ROUNDUP(E50*((I50*H50)+(G50*XLOOKUP(B50,'Supply Catalog'!$A$4:$A$13,'Supply Catalog'!$F$4:$F$13,0))+(F50*XLOOKUP(B50,'Supply Catalog'!$A$4:$A$13,'Supply Catalog'!$G$4:$G$13,0))),1)</x:f>
        <x:v>1.1</x:v>
      </x:c>
      <x:c r="K50" s="32" t="n">
        <x:f>ROUNDUP(J50*4.33,1)</x:f>
        <x:v>4.8</x:v>
      </x:c>
      <x:c r="L50" t="str">
        <x:f>XLOOKUP(A50,Contracts!$A$4:$A$15,Contracts!$G$4:$G$15,"")</x:f>
        <x:v>High</x:v>
      </x:c>
    </x:row>
    <x:row r="51">
      <x:c r="A51" t="str">
        <x:v>FireStation</x:v>
      </x:c>
      <x:c r="B51" t="str">
        <x:v>SUP008</x:v>
      </x:c>
      <x:c r="C51" t="str">
        <x:v>Mop Heads</x:v>
      </x:c>
      <x:c r="D51" t="str">
        <x:f>XLOOKUP(A51,Contracts!$A$4:$A$15,Contracts!$C$4:$C$15,"")</x:f>
        <x:v>Industrial</x:v>
      </x:c>
      <x:c r="E51" t="n">
        <x:f>XLOOKUP(A51,Contracts!$A$4:$A$15,Contracts!$J$4:$J$15,0)</x:f>
        <x:v>5</x:v>
      </x:c>
      <x:c r="F51" t="n">
        <x:f>XLOOKUP(A51,Contracts!$A$4:$A$15,Contracts!$F$4:$F$15,0)</x:f>
        <x:v>1</x:v>
      </x:c>
      <x:c r="G51" t="n">
        <x:f>XLOOKUP(A51,Contracts!$A$4:$A$15,Contracts!$D$4:$D$15,0)</x:f>
        <x:v>9000</x:v>
      </x:c>
      <x:c r="H51" t="n">
        <x:f>XLOOKUP(D51,Settings!$A$4:$A$10,Settings!$B$4:$B$10,1)</x:f>
        <x:v>1.7</x:v>
      </x:c>
      <x:c r="I51" t="n">
        <x:f>XLOOKUP(B51,'Supply Catalog'!$A$4:$A$13,'Supply Catalog'!$E$4:$E$13,0)</x:f>
        <x:v>0.04</x:v>
      </x:c>
      <x:c r="J51" s="32" t="n">
        <x:f>ROUNDUP(E51*((I51*H51)+(G51*XLOOKUP(B51,'Supply Catalog'!$A$4:$A$13,'Supply Catalog'!$F$4:$F$13,0))+(F51*XLOOKUP(B51,'Supply Catalog'!$A$4:$A$13,'Supply Catalog'!$G$4:$G$13,0))),1)</x:f>
        <x:v>0.7</x:v>
      </x:c>
      <x:c r="K51" s="32" t="n">
        <x:f>ROUNDUP(J51*4.33,1)</x:f>
        <x:v>3.1</x:v>
      </x:c>
      <x:c r="L51" t="str">
        <x:f>XLOOKUP(A51,Contracts!$A$4:$A$15,Contracts!$G$4:$G$15,"")</x:f>
        <x:v>High</x:v>
      </x:c>
    </x:row>
    <x:row r="52">
      <x:c r="A52" t="str">
        <x:v>FireStation</x:v>
      </x:c>
      <x:c r="B52" t="str">
        <x:v>SUP009</x:v>
      </x:c>
      <x:c r="C52" t="str">
        <x:v>Floor Cleaner</x:v>
      </x:c>
      <x:c r="D52" t="str">
        <x:f>XLOOKUP(A52,Contracts!$A$4:$A$15,Contracts!$C$4:$C$15,"")</x:f>
        <x:v>Industrial</x:v>
      </x:c>
      <x:c r="E52" t="n">
        <x:f>XLOOKUP(A52,Contracts!$A$4:$A$15,Contracts!$J$4:$J$15,0)</x:f>
        <x:v>5</x:v>
      </x:c>
      <x:c r="F52" t="n">
        <x:f>XLOOKUP(A52,Contracts!$A$4:$A$15,Contracts!$F$4:$F$15,0)</x:f>
        <x:v>1</x:v>
      </x:c>
      <x:c r="G52" t="n">
        <x:f>XLOOKUP(A52,Contracts!$A$4:$A$15,Contracts!$D$4:$D$15,0)</x:f>
        <x:v>9000</x:v>
      </x:c>
      <x:c r="H52" t="n">
        <x:f>XLOOKUP(D52,Settings!$A$4:$A$10,Settings!$B$4:$B$10,1)</x:f>
        <x:v>1.7</x:v>
      </x:c>
      <x:c r="I52" t="n">
        <x:f>XLOOKUP(B52,'Supply Catalog'!$A$4:$A$13,'Supply Catalog'!$E$4:$E$13,0)</x:f>
        <x:v>0.1</x:v>
      </x:c>
      <x:c r="J52" s="32" t="n">
        <x:f>ROUNDUP(E52*((I52*H52)+(G52*XLOOKUP(B52,'Supply Catalog'!$A$4:$A$13,'Supply Catalog'!$F$4:$F$13,0))+(F52*XLOOKUP(B52,'Supply Catalog'!$A$4:$A$13,'Supply Catalog'!$G$4:$G$13,0))),1)</x:f>
        <x:v>1.9</x:v>
      </x:c>
      <x:c r="K52" s="32" t="n">
        <x:f>ROUNDUP(J52*4.33,1)</x:f>
        <x:v>8.3</x:v>
      </x:c>
      <x:c r="L52" t="str">
        <x:f>XLOOKUP(A52,Contracts!$A$4:$A$15,Contracts!$G$4:$G$15,"")</x:f>
        <x:v>High</x:v>
      </x:c>
    </x:row>
    <x:row r="53">
      <x:c r="A53" t="str">
        <x:v>FireStation</x:v>
      </x:c>
      <x:c r="B53" t="str">
        <x:v>SUP010</x:v>
      </x:c>
      <x:c r="C53" t="str">
        <x:v>Hand Soap Refill</x:v>
      </x:c>
      <x:c r="D53" t="str">
        <x:f>XLOOKUP(A53,Contracts!$A$4:$A$15,Contracts!$C$4:$C$15,"")</x:f>
        <x:v>Industrial</x:v>
      </x:c>
      <x:c r="E53" t="n">
        <x:f>XLOOKUP(A53,Contracts!$A$4:$A$15,Contracts!$J$4:$J$15,0)</x:f>
        <x:v>5</x:v>
      </x:c>
      <x:c r="F53" t="n">
        <x:f>XLOOKUP(A53,Contracts!$A$4:$A$15,Contracts!$F$4:$F$15,0)</x:f>
        <x:v>1</x:v>
      </x:c>
      <x:c r="G53" t="n">
        <x:f>XLOOKUP(A53,Contracts!$A$4:$A$15,Contracts!$D$4:$D$15,0)</x:f>
        <x:v>9000</x:v>
      </x:c>
      <x:c r="H53" t="n">
        <x:f>XLOOKUP(D53,Settings!$A$4:$A$10,Settings!$B$4:$B$10,1)</x:f>
        <x:v>1.7</x:v>
      </x:c>
      <x:c r="I53" t="n">
        <x:f>XLOOKUP(B53,'Supply Catalog'!$A$4:$A$13,'Supply Catalog'!$E$4:$E$13,0)</x:f>
        <x:v>0.1</x:v>
      </x:c>
      <x:c r="J53" s="32" t="n">
        <x:f>ROUNDUP(E53*((I53*H53)+(G53*XLOOKUP(B53,'Supply Catalog'!$A$4:$A$13,'Supply Catalog'!$F$4:$F$13,0))+(F53*XLOOKUP(B53,'Supply Catalog'!$A$4:$A$13,'Supply Catalog'!$G$4:$G$13,0))),1)</x:f>
        <x:v>1.6</x:v>
      </x:c>
      <x:c r="K53" s="32" t="n">
        <x:f>ROUNDUP(J53*4.33,1)</x:f>
        <x:v>7</x:v>
      </x:c>
      <x:c r="L53" t="str">
        <x:f>XLOOKUP(A53,Contracts!$A$4:$A$15,Contracts!$G$4:$G$15,"")</x:f>
        <x:v>High</x:v>
      </x:c>
    </x:row>
    <x:row r="54">
      <x:c r="A54" t="str">
        <x:v>CityHall2</x:v>
      </x:c>
      <x:c r="B54" t="str">
        <x:v>SUP001</x:v>
      </x:c>
      <x:c r="C54" t="str">
        <x:v>Trash Liners 55 Gal</x:v>
      </x:c>
      <x:c r="D54" t="str">
        <x:f>XLOOKUP(A54,Contracts!$A$4:$A$15,Contracts!$C$4:$C$15,"")</x:f>
        <x:v>Office</x:v>
      </x:c>
      <x:c r="E54" t="n">
        <x:f>XLOOKUP(A54,Contracts!$A$4:$A$15,Contracts!$J$4:$J$15,0)</x:f>
        <x:v>5</x:v>
      </x:c>
      <x:c r="F54" t="n">
        <x:f>XLOOKUP(A54,Contracts!$A$4:$A$15,Contracts!$F$4:$F$15,0)</x:f>
        <x:v>1</x:v>
      </x:c>
      <x:c r="G54" t="n">
        <x:f>XLOOKUP(A54,Contracts!$A$4:$A$15,Contracts!$D$4:$D$15,0)</x:f>
        <x:v>12000</x:v>
      </x:c>
      <x:c r="H54" t="n">
        <x:f>XLOOKUP(D54,Settings!$A$4:$A$10,Settings!$B$4:$B$10,1)</x:f>
        <x:v>1</x:v>
      </x:c>
      <x:c r="I54" t="n">
        <x:f>XLOOKUP(B54,'Supply Catalog'!$A$4:$A$13,'Supply Catalog'!$E$4:$E$13,0)</x:f>
        <x:v>0.18</x:v>
      </x:c>
      <x:c r="J54" s="32" t="n">
        <x:f>ROUNDUP(E54*((I54*H54)+(G54*XLOOKUP(B54,'Supply Catalog'!$A$4:$A$13,'Supply Catalog'!$F$4:$F$13,0))+(F54*XLOOKUP(B54,'Supply Catalog'!$A$4:$A$13,'Supply Catalog'!$G$4:$G$13,0))),1)</x:f>
        <x:v>2.1</x:v>
      </x:c>
      <x:c r="K54" s="32" t="n">
        <x:f>ROUNDUP(J54*4.33,1)</x:f>
        <x:v>9.1</x:v>
      </x:c>
      <x:c r="L54" t="str">
        <x:f>XLOOKUP(A54,Contracts!$A$4:$A$15,Contracts!$G$4:$G$15,"")</x:f>
        <x:v>Normal</x:v>
      </x:c>
    </x:row>
    <x:row r="55">
      <x:c r="A55" t="str">
        <x:v>CityHall2</x:v>
      </x:c>
      <x:c r="B55" t="str">
        <x:v>SUP002</x:v>
      </x:c>
      <x:c r="C55" t="str">
        <x:v>Nitrile Gloves</x:v>
      </x:c>
      <x:c r="D55" t="str">
        <x:f>XLOOKUP(A55,Contracts!$A$4:$A$15,Contracts!$C$4:$C$15,"")</x:f>
        <x:v>Office</x:v>
      </x:c>
      <x:c r="E55" t="n">
        <x:f>XLOOKUP(A55,Contracts!$A$4:$A$15,Contracts!$J$4:$J$15,0)</x:f>
        <x:v>5</x:v>
      </x:c>
      <x:c r="F55" t="n">
        <x:f>XLOOKUP(A55,Contracts!$A$4:$A$15,Contracts!$F$4:$F$15,0)</x:f>
        <x:v>1</x:v>
      </x:c>
      <x:c r="G55" t="n">
        <x:f>XLOOKUP(A55,Contracts!$A$4:$A$15,Contracts!$D$4:$D$15,0)</x:f>
        <x:v>12000</x:v>
      </x:c>
      <x:c r="H55" t="n">
        <x:f>XLOOKUP(D55,Settings!$A$4:$A$10,Settings!$B$4:$B$10,1)</x:f>
        <x:v>1</x:v>
      </x:c>
      <x:c r="I55" t="n">
        <x:f>XLOOKUP(B55,'Supply Catalog'!$A$4:$A$13,'Supply Catalog'!$E$4:$E$13,0)</x:f>
        <x:v>0.45</x:v>
      </x:c>
      <x:c r="J55" s="32" t="n">
        <x:f>ROUNDUP(E55*((I55*H55)+(G55*XLOOKUP(B55,'Supply Catalog'!$A$4:$A$13,'Supply Catalog'!$F$4:$F$13,0))+(F55*XLOOKUP(B55,'Supply Catalog'!$A$4:$A$13,'Supply Catalog'!$G$4:$G$13,0))),1)</x:f>
        <x:v>3.1</x:v>
      </x:c>
      <x:c r="K55" s="32" t="n">
        <x:f>ROUNDUP(J55*4.33,1)</x:f>
        <x:v>13.5</x:v>
      </x:c>
      <x:c r="L55" t="str">
        <x:f>XLOOKUP(A55,Contracts!$A$4:$A$15,Contracts!$G$4:$G$15,"")</x:f>
        <x:v>Normal</x:v>
      </x:c>
    </x:row>
    <x:row r="56">
      <x:c r="A56" t="str">
        <x:v>CityHall2</x:v>
      </x:c>
      <x:c r="B56" t="str">
        <x:v>SUP003</x:v>
      </x:c>
      <x:c r="C56" t="str">
        <x:v>Disinfectant Concentrate</x:v>
      </x:c>
      <x:c r="D56" t="str">
        <x:f>XLOOKUP(A56,Contracts!$A$4:$A$15,Contracts!$C$4:$C$15,"")</x:f>
        <x:v>Office</x:v>
      </x:c>
      <x:c r="E56" t="n">
        <x:f>XLOOKUP(A56,Contracts!$A$4:$A$15,Contracts!$J$4:$J$15,0)</x:f>
        <x:v>5</x:v>
      </x:c>
      <x:c r="F56" t="n">
        <x:f>XLOOKUP(A56,Contracts!$A$4:$A$15,Contracts!$F$4:$F$15,0)</x:f>
        <x:v>1</x:v>
      </x:c>
      <x:c r="G56" t="n">
        <x:f>XLOOKUP(A56,Contracts!$A$4:$A$15,Contracts!$D$4:$D$15,0)</x:f>
        <x:v>12000</x:v>
      </x:c>
      <x:c r="H56" t="n">
        <x:f>XLOOKUP(D56,Settings!$A$4:$A$10,Settings!$B$4:$B$10,1)</x:f>
        <x:v>1</x:v>
      </x:c>
      <x:c r="I56" t="n">
        <x:f>XLOOKUP(B56,'Supply Catalog'!$A$4:$A$13,'Supply Catalog'!$E$4:$E$13,0)</x:f>
        <x:v>0.12</x:v>
      </x:c>
      <x:c r="J56" s="32" t="n">
        <x:f>ROUNDUP(E56*((I56*H56)+(G56*XLOOKUP(B56,'Supply Catalog'!$A$4:$A$13,'Supply Catalog'!$F$4:$F$13,0))+(F56*XLOOKUP(B56,'Supply Catalog'!$A$4:$A$13,'Supply Catalog'!$G$4:$G$13,0))),1)</x:f>
        <x:v>2</x:v>
      </x:c>
      <x:c r="K56" s="32" t="n">
        <x:f>ROUNDUP(J56*4.33,1)</x:f>
        <x:v>8.7</x:v>
      </x:c>
      <x:c r="L56" t="str">
        <x:f>XLOOKUP(A56,Contracts!$A$4:$A$15,Contracts!$G$4:$G$15,"")</x:f>
        <x:v>Normal</x:v>
      </x:c>
    </x:row>
    <x:row r="57">
      <x:c r="A57" t="str">
        <x:v>CityHall2</x:v>
      </x:c>
      <x:c r="B57" t="str">
        <x:v>SUP004</x:v>
      </x:c>
      <x:c r="C57" t="str">
        <x:v>Glass Cleaner</x:v>
      </x:c>
      <x:c r="D57" t="str">
        <x:f>XLOOKUP(A57,Contracts!$A$4:$A$15,Contracts!$C$4:$C$15,"")</x:f>
        <x:v>Office</x:v>
      </x:c>
      <x:c r="E57" t="n">
        <x:f>XLOOKUP(A57,Contracts!$A$4:$A$15,Contracts!$J$4:$J$15,0)</x:f>
        <x:v>5</x:v>
      </x:c>
      <x:c r="F57" t="n">
        <x:f>XLOOKUP(A57,Contracts!$A$4:$A$15,Contracts!$F$4:$F$15,0)</x:f>
        <x:v>1</x:v>
      </x:c>
      <x:c r="G57" t="n">
        <x:f>XLOOKUP(A57,Contracts!$A$4:$A$15,Contracts!$D$4:$D$15,0)</x:f>
        <x:v>12000</x:v>
      </x:c>
      <x:c r="H57" t="n">
        <x:f>XLOOKUP(D57,Settings!$A$4:$A$10,Settings!$B$4:$B$10,1)</x:f>
        <x:v>1</x:v>
      </x:c>
      <x:c r="I57" t="n">
        <x:f>XLOOKUP(B57,'Supply Catalog'!$A$4:$A$13,'Supply Catalog'!$E$4:$E$13,0)</x:f>
        <x:v>0.08</x:v>
      </x:c>
      <x:c r="J57" s="32" t="n">
        <x:f>ROUNDUP(E57*((I57*H57)+(G57*XLOOKUP(B57,'Supply Catalog'!$A$4:$A$13,'Supply Catalog'!$F$4:$F$13,0))+(F57*XLOOKUP(B57,'Supply Catalog'!$A$4:$A$13,'Supply Catalog'!$G$4:$G$13,0))),1)</x:f>
        <x:v>1.2</x:v>
      </x:c>
      <x:c r="K57" s="32" t="n">
        <x:f>ROUNDUP(J57*4.33,1)</x:f>
        <x:v>5.2</x:v>
      </x:c>
      <x:c r="L57" t="str">
        <x:f>XLOOKUP(A57,Contracts!$A$4:$A$15,Contracts!$G$4:$G$15,"")</x:f>
        <x:v>Normal</x:v>
      </x:c>
    </x:row>
    <x:row r="58">
      <x:c r="A58" t="str">
        <x:v>CityHall2</x:v>
      </x:c>
      <x:c r="B58" t="str">
        <x:v>SUP005</x:v>
      </x:c>
      <x:c r="C58" t="str">
        <x:v>Paper Towels</x:v>
      </x:c>
      <x:c r="D58" t="str">
        <x:f>XLOOKUP(A58,Contracts!$A$4:$A$15,Contracts!$C$4:$C$15,"")</x:f>
        <x:v>Office</x:v>
      </x:c>
      <x:c r="E58" t="n">
        <x:f>XLOOKUP(A58,Contracts!$A$4:$A$15,Contracts!$J$4:$J$15,0)</x:f>
        <x:v>5</x:v>
      </x:c>
      <x:c r="F58" t="n">
        <x:f>XLOOKUP(A58,Contracts!$A$4:$A$15,Contracts!$F$4:$F$15,0)</x:f>
        <x:v>1</x:v>
      </x:c>
      <x:c r="G58" t="n">
        <x:f>XLOOKUP(A58,Contracts!$A$4:$A$15,Contracts!$D$4:$D$15,0)</x:f>
        <x:v>12000</x:v>
      </x:c>
      <x:c r="H58" t="n">
        <x:f>XLOOKUP(D58,Settings!$A$4:$A$10,Settings!$B$4:$B$10,1)</x:f>
        <x:v>1</x:v>
      </x:c>
      <x:c r="I58" t="n">
        <x:f>XLOOKUP(B58,'Supply Catalog'!$A$4:$A$13,'Supply Catalog'!$E$4:$E$13,0)</x:f>
        <x:v>0.2</x:v>
      </x:c>
      <x:c r="J58" s="32" t="n">
        <x:f>ROUNDUP(E58*((I58*H58)+(G58*XLOOKUP(B58,'Supply Catalog'!$A$4:$A$13,'Supply Catalog'!$F$4:$F$13,0))+(F58*XLOOKUP(B58,'Supply Catalog'!$A$4:$A$13,'Supply Catalog'!$G$4:$G$13,0))),1)</x:f>
        <x:v>2.5</x:v>
      </x:c>
      <x:c r="K58" s="32" t="n">
        <x:f>ROUNDUP(J58*4.33,1)</x:f>
        <x:v>10.9</x:v>
      </x:c>
      <x:c r="L58" t="str">
        <x:f>XLOOKUP(A58,Contracts!$A$4:$A$15,Contracts!$G$4:$G$15,"")</x:f>
        <x:v>Normal</x:v>
      </x:c>
    </x:row>
    <x:row r="59">
      <x:c r="A59" t="str">
        <x:v>CityHall2</x:v>
      </x:c>
      <x:c r="B59" t="str">
        <x:v>SUP006</x:v>
      </x:c>
      <x:c r="C59" t="str">
        <x:v>Toilet Tissue</x:v>
      </x:c>
      <x:c r="D59" t="str">
        <x:f>XLOOKUP(A59,Contracts!$A$4:$A$15,Contracts!$C$4:$C$15,"")</x:f>
        <x:v>Office</x:v>
      </x:c>
      <x:c r="E59" t="n">
        <x:f>XLOOKUP(A59,Contracts!$A$4:$A$15,Contracts!$J$4:$J$15,0)</x:f>
        <x:v>5</x:v>
      </x:c>
      <x:c r="F59" t="n">
        <x:f>XLOOKUP(A59,Contracts!$A$4:$A$15,Contracts!$F$4:$F$15,0)</x:f>
        <x:v>1</x:v>
      </x:c>
      <x:c r="G59" t="n">
        <x:f>XLOOKUP(A59,Contracts!$A$4:$A$15,Contracts!$D$4:$D$15,0)</x:f>
        <x:v>12000</x:v>
      </x:c>
      <x:c r="H59" t="n">
        <x:f>XLOOKUP(D59,Settings!$A$4:$A$10,Settings!$B$4:$B$10,1)</x:f>
        <x:v>1</x:v>
      </x:c>
      <x:c r="I59" t="n">
        <x:f>XLOOKUP(B59,'Supply Catalog'!$A$4:$A$13,'Supply Catalog'!$E$4:$E$13,0)</x:f>
        <x:v>0.16</x:v>
      </x:c>
      <x:c r="J59" s="32" t="n">
        <x:f>ROUNDUP(E59*((I59*H59)+(G59*XLOOKUP(B59,'Supply Catalog'!$A$4:$A$13,'Supply Catalog'!$F$4:$F$13,0))+(F59*XLOOKUP(B59,'Supply Catalog'!$A$4:$A$13,'Supply Catalog'!$G$4:$G$13,0))),1)</x:f>
        <x:v>2.1</x:v>
      </x:c>
      <x:c r="K59" s="32" t="n">
        <x:f>ROUNDUP(J59*4.33,1)</x:f>
        <x:v>9.1</x:v>
      </x:c>
      <x:c r="L59" t="str">
        <x:f>XLOOKUP(A59,Contracts!$A$4:$A$15,Contracts!$G$4:$G$15,"")</x:f>
        <x:v>Normal</x:v>
      </x:c>
    </x:row>
    <x:row r="60">
      <x:c r="A60" t="str">
        <x:v>CityHall2</x:v>
      </x:c>
      <x:c r="B60" t="str">
        <x:v>SUP007</x:v>
      </x:c>
      <x:c r="C60" t="str">
        <x:v>Microfiber Towels</x:v>
      </x:c>
      <x:c r="D60" t="str">
        <x:f>XLOOKUP(A60,Contracts!$A$4:$A$15,Contracts!$C$4:$C$15,"")</x:f>
        <x:v>Office</x:v>
      </x:c>
      <x:c r="E60" t="n">
        <x:f>XLOOKUP(A60,Contracts!$A$4:$A$15,Contracts!$J$4:$J$15,0)</x:f>
        <x:v>5</x:v>
      </x:c>
      <x:c r="F60" t="n">
        <x:f>XLOOKUP(A60,Contracts!$A$4:$A$15,Contracts!$F$4:$F$15,0)</x:f>
        <x:v>1</x:v>
      </x:c>
      <x:c r="G60" t="n">
        <x:f>XLOOKUP(A60,Contracts!$A$4:$A$15,Contracts!$D$4:$D$15,0)</x:f>
        <x:v>12000</x:v>
      </x:c>
      <x:c r="H60" t="n">
        <x:f>XLOOKUP(D60,Settings!$A$4:$A$10,Settings!$B$4:$B$10,1)</x:f>
        <x:v>1</x:v>
      </x:c>
      <x:c r="I60" t="n">
        <x:f>XLOOKUP(B60,'Supply Catalog'!$A$4:$A$13,'Supply Catalog'!$E$4:$E$13,0)</x:f>
        <x:v>0.06</x:v>
      </x:c>
      <x:c r="J60" s="32" t="n">
        <x:f>ROUNDUP(E60*((I60*H60)+(G60*XLOOKUP(B60,'Supply Catalog'!$A$4:$A$13,'Supply Catalog'!$F$4:$F$13,0))+(F60*XLOOKUP(B60,'Supply Catalog'!$A$4:$A$13,'Supply Catalog'!$G$4:$G$13,0))),1)</x:f>
        <x:v>1</x:v>
      </x:c>
      <x:c r="K60" s="32" t="n">
        <x:f>ROUNDUP(J60*4.33,1)</x:f>
        <x:v>4.4</x:v>
      </x:c>
      <x:c r="L60" t="str">
        <x:f>XLOOKUP(A60,Contracts!$A$4:$A$15,Contracts!$G$4:$G$15,"")</x:f>
        <x:v>Normal</x:v>
      </x:c>
    </x:row>
    <x:row r="61">
      <x:c r="A61" t="str">
        <x:v>CityHall2</x:v>
      </x:c>
      <x:c r="B61" t="str">
        <x:v>SUP008</x:v>
      </x:c>
      <x:c r="C61" t="str">
        <x:v>Mop Heads</x:v>
      </x:c>
      <x:c r="D61" t="str">
        <x:f>XLOOKUP(A61,Contracts!$A$4:$A$15,Contracts!$C$4:$C$15,"")</x:f>
        <x:v>Office</x:v>
      </x:c>
      <x:c r="E61" t="n">
        <x:f>XLOOKUP(A61,Contracts!$A$4:$A$15,Contracts!$J$4:$J$15,0)</x:f>
        <x:v>5</x:v>
      </x:c>
      <x:c r="F61" t="n">
        <x:f>XLOOKUP(A61,Contracts!$A$4:$A$15,Contracts!$F$4:$F$15,0)</x:f>
        <x:v>1</x:v>
      </x:c>
      <x:c r="G61" t="n">
        <x:f>XLOOKUP(A61,Contracts!$A$4:$A$15,Contracts!$D$4:$D$15,0)</x:f>
        <x:v>12000</x:v>
      </x:c>
      <x:c r="H61" t="n">
        <x:f>XLOOKUP(D61,Settings!$A$4:$A$10,Settings!$B$4:$B$10,1)</x:f>
        <x:v>1</x:v>
      </x:c>
      <x:c r="I61" t="n">
        <x:f>XLOOKUP(B61,'Supply Catalog'!$A$4:$A$13,'Supply Catalog'!$E$4:$E$13,0)</x:f>
        <x:v>0.04</x:v>
      </x:c>
      <x:c r="J61" s="32" t="n">
        <x:f>ROUNDUP(E61*((I61*H61)+(G61*XLOOKUP(B61,'Supply Catalog'!$A$4:$A$13,'Supply Catalog'!$F$4:$F$13,0))+(F61*XLOOKUP(B61,'Supply Catalog'!$A$4:$A$13,'Supply Catalog'!$G$4:$G$13,0))),1)</x:f>
        <x:v>0.6</x:v>
      </x:c>
      <x:c r="K61" s="32" t="n">
        <x:f>ROUNDUP(J61*4.33,1)</x:f>
        <x:v>2.6</x:v>
      </x:c>
      <x:c r="L61" t="str">
        <x:f>XLOOKUP(A61,Contracts!$A$4:$A$15,Contracts!$G$4:$G$15,"")</x:f>
        <x:v>Normal</x:v>
      </x:c>
    </x:row>
    <x:row r="62">
      <x:c r="A62" t="str">
        <x:v>CityHall2</x:v>
      </x:c>
      <x:c r="B62" t="str">
        <x:v>SUP009</x:v>
      </x:c>
      <x:c r="C62" t="str">
        <x:v>Floor Cleaner</x:v>
      </x:c>
      <x:c r="D62" t="str">
        <x:f>XLOOKUP(A62,Contracts!$A$4:$A$15,Contracts!$C$4:$C$15,"")</x:f>
        <x:v>Office</x:v>
      </x:c>
      <x:c r="E62" t="n">
        <x:f>XLOOKUP(A62,Contracts!$A$4:$A$15,Contracts!$J$4:$J$15,0)</x:f>
        <x:v>5</x:v>
      </x:c>
      <x:c r="F62" t="n">
        <x:f>XLOOKUP(A62,Contracts!$A$4:$A$15,Contracts!$F$4:$F$15,0)</x:f>
        <x:v>1</x:v>
      </x:c>
      <x:c r="G62" t="n">
        <x:f>XLOOKUP(A62,Contracts!$A$4:$A$15,Contracts!$D$4:$D$15,0)</x:f>
        <x:v>12000</x:v>
      </x:c>
      <x:c r="H62" t="n">
        <x:f>XLOOKUP(D62,Settings!$A$4:$A$10,Settings!$B$4:$B$10,1)</x:f>
        <x:v>1</x:v>
      </x:c>
      <x:c r="I62" t="n">
        <x:f>XLOOKUP(B62,'Supply Catalog'!$A$4:$A$13,'Supply Catalog'!$E$4:$E$13,0)</x:f>
        <x:v>0.1</x:v>
      </x:c>
      <x:c r="J62" s="32" t="n">
        <x:f>ROUNDUP(E62*((I62*H62)+(G62*XLOOKUP(B62,'Supply Catalog'!$A$4:$A$13,'Supply Catalog'!$F$4:$F$13,0))+(F62*XLOOKUP(B62,'Supply Catalog'!$A$4:$A$13,'Supply Catalog'!$G$4:$G$13,0))),1)</x:f>
        <x:v>1.8</x:v>
      </x:c>
      <x:c r="K62" s="32" t="n">
        <x:f>ROUNDUP(J62*4.33,1)</x:f>
        <x:v>7.8</x:v>
      </x:c>
      <x:c r="L62" t="str">
        <x:f>XLOOKUP(A62,Contracts!$A$4:$A$15,Contracts!$G$4:$G$15,"")</x:f>
        <x:v>Normal</x:v>
      </x:c>
    </x:row>
    <x:row r="63">
      <x:c r="A63" t="str">
        <x:v>CityHall2</x:v>
      </x:c>
      <x:c r="B63" t="str">
        <x:v>SUP010</x:v>
      </x:c>
      <x:c r="C63" t="str">
        <x:v>Hand Soap Refill</x:v>
      </x:c>
      <x:c r="D63" t="str">
        <x:f>XLOOKUP(A63,Contracts!$A$4:$A$15,Contracts!$C$4:$C$15,"")</x:f>
        <x:v>Office</x:v>
      </x:c>
      <x:c r="E63" t="n">
        <x:f>XLOOKUP(A63,Contracts!$A$4:$A$15,Contracts!$J$4:$J$15,0)</x:f>
        <x:v>5</x:v>
      </x:c>
      <x:c r="F63" t="n">
        <x:f>XLOOKUP(A63,Contracts!$A$4:$A$15,Contracts!$F$4:$F$15,0)</x:f>
        <x:v>1</x:v>
      </x:c>
      <x:c r="G63" t="n">
        <x:f>XLOOKUP(A63,Contracts!$A$4:$A$15,Contracts!$D$4:$D$15,0)</x:f>
        <x:v>12000</x:v>
      </x:c>
      <x:c r="H63" t="n">
        <x:f>XLOOKUP(D63,Settings!$A$4:$A$10,Settings!$B$4:$B$10,1)</x:f>
        <x:v>1</x:v>
      </x:c>
      <x:c r="I63" t="n">
        <x:f>XLOOKUP(B63,'Supply Catalog'!$A$4:$A$13,'Supply Catalog'!$E$4:$E$13,0)</x:f>
        <x:v>0.1</x:v>
      </x:c>
      <x:c r="J63" s="32" t="n">
        <x:f>ROUNDUP(E63*((I63*H63)+(G63*XLOOKUP(B63,'Supply Catalog'!$A$4:$A$13,'Supply Catalog'!$F$4:$F$13,0))+(F63*XLOOKUP(B63,'Supply Catalog'!$A$4:$A$13,'Supply Catalog'!$G$4:$G$13,0))),1)</x:f>
        <x:v>1.4</x:v>
      </x:c>
      <x:c r="K63" s="32" t="n">
        <x:f>ROUNDUP(J63*4.33,1)</x:f>
        <x:v>6.1</x:v>
      </x:c>
      <x:c r="L63" t="str">
        <x:f>XLOOKUP(A63,Contracts!$A$4:$A$15,Contracts!$G$4:$G$15,"")</x:f>
        <x:v>Normal</x:v>
      </x:c>
    </x:row>
    <x:row r="64">
      <x:c r="A64" t="str">
        <x:v>Highschool2</x:v>
      </x:c>
      <x:c r="B64" t="str">
        <x:v>SUP001</x:v>
      </x:c>
      <x:c r="C64" t="str">
        <x:v>Trash Liners 55 Gal</x:v>
      </x:c>
      <x:c r="D64" t="str">
        <x:f>XLOOKUP(A64,Contracts!$A$4:$A$15,Contracts!$C$4:$C$15,"")</x:f>
        <x:v>Education</x:v>
      </x:c>
      <x:c r="E64" t="n">
        <x:f>XLOOKUP(A64,Contracts!$A$4:$A$15,Contracts!$J$4:$J$15,0)</x:f>
        <x:v>6</x:v>
      </x:c>
      <x:c r="F64" t="n">
        <x:f>XLOOKUP(A64,Contracts!$A$4:$A$15,Contracts!$F$4:$F$15,0)</x:f>
        <x:v>2</x:v>
      </x:c>
      <x:c r="G64" t="n">
        <x:f>XLOOKUP(A64,Contracts!$A$4:$A$15,Contracts!$D$4:$D$15,0)</x:f>
        <x:v>47000</x:v>
      </x:c>
      <x:c r="H64" t="n">
        <x:f>XLOOKUP(D64,Settings!$A$4:$A$10,Settings!$B$4:$B$10,1)</x:f>
        <x:v>2</x:v>
      </x:c>
      <x:c r="I64" t="n">
        <x:f>XLOOKUP(B64,'Supply Catalog'!$A$4:$A$13,'Supply Catalog'!$E$4:$E$13,0)</x:f>
        <x:v>0.18</x:v>
      </x:c>
      <x:c r="J64" s="32" t="n">
        <x:f>ROUNDUP(E64*((I64*H64)+(G64*XLOOKUP(B64,'Supply Catalog'!$A$4:$A$13,'Supply Catalog'!$F$4:$F$13,0))+(F64*XLOOKUP(B64,'Supply Catalog'!$A$4:$A$13,'Supply Catalog'!$G$4:$G$13,0))),1)</x:f>
        <x:v>7</x:v>
      </x:c>
      <x:c r="K64" s="32" t="n">
        <x:f>ROUNDUP(J64*4.33,1)</x:f>
        <x:v>30.4</x:v>
      </x:c>
      <x:c r="L64" t="str">
        <x:f>XLOOKUP(A64,Contracts!$A$4:$A$15,Contracts!$G$4:$G$15,"")</x:f>
        <x:v>High</x:v>
      </x:c>
    </x:row>
    <x:row r="65">
      <x:c r="A65" t="str">
        <x:v>Highschool2</x:v>
      </x:c>
      <x:c r="B65" t="str">
        <x:v>SUP002</x:v>
      </x:c>
      <x:c r="C65" t="str">
        <x:v>Nitrile Gloves</x:v>
      </x:c>
      <x:c r="D65" t="str">
        <x:f>XLOOKUP(A65,Contracts!$A$4:$A$15,Contracts!$C$4:$C$15,"")</x:f>
        <x:v>Education</x:v>
      </x:c>
      <x:c r="E65" t="n">
        <x:f>XLOOKUP(A65,Contracts!$A$4:$A$15,Contracts!$J$4:$J$15,0)</x:f>
        <x:v>6</x:v>
      </x:c>
      <x:c r="F65" t="n">
        <x:f>XLOOKUP(A65,Contracts!$A$4:$A$15,Contracts!$F$4:$F$15,0)</x:f>
        <x:v>2</x:v>
      </x:c>
      <x:c r="G65" t="n">
        <x:f>XLOOKUP(A65,Contracts!$A$4:$A$15,Contracts!$D$4:$D$15,0)</x:f>
        <x:v>47000</x:v>
      </x:c>
      <x:c r="H65" t="n">
        <x:f>XLOOKUP(D65,Settings!$A$4:$A$10,Settings!$B$4:$B$10,1)</x:f>
        <x:v>2</x:v>
      </x:c>
      <x:c r="I65" t="n">
        <x:f>XLOOKUP(B65,'Supply Catalog'!$A$4:$A$13,'Supply Catalog'!$E$4:$E$13,0)</x:f>
        <x:v>0.45</x:v>
      </x:c>
      <x:c r="J65" s="32" t="n">
        <x:f>ROUNDUP(E65*((I65*H65)+(G65*XLOOKUP(B65,'Supply Catalog'!$A$4:$A$13,'Supply Catalog'!$F$4:$F$13,0))+(F65*XLOOKUP(B65,'Supply Catalog'!$A$4:$A$13,'Supply Catalog'!$G$4:$G$13,0))),1)</x:f>
        <x:v>8.1</x:v>
      </x:c>
      <x:c r="K65" s="32" t="n">
        <x:f>ROUNDUP(J65*4.33,1)</x:f>
        <x:v>35.1</x:v>
      </x:c>
      <x:c r="L65" t="str">
        <x:f>XLOOKUP(A65,Contracts!$A$4:$A$15,Contracts!$G$4:$G$15,"")</x:f>
        <x:v>High</x:v>
      </x:c>
    </x:row>
    <x:row r="66">
      <x:c r="A66" t="str">
        <x:v>Highschool2</x:v>
      </x:c>
      <x:c r="B66" t="str">
        <x:v>SUP003</x:v>
      </x:c>
      <x:c r="C66" t="str">
        <x:v>Disinfectant Concentrate</x:v>
      </x:c>
      <x:c r="D66" t="str">
        <x:f>XLOOKUP(A66,Contracts!$A$4:$A$15,Contracts!$C$4:$C$15,"")</x:f>
        <x:v>Education</x:v>
      </x:c>
      <x:c r="E66" t="n">
        <x:f>XLOOKUP(A66,Contracts!$A$4:$A$15,Contracts!$J$4:$J$15,0)</x:f>
        <x:v>6</x:v>
      </x:c>
      <x:c r="F66" t="n">
        <x:f>XLOOKUP(A66,Contracts!$A$4:$A$15,Contracts!$F$4:$F$15,0)</x:f>
        <x:v>2</x:v>
      </x:c>
      <x:c r="G66" t="n">
        <x:f>XLOOKUP(A66,Contracts!$A$4:$A$15,Contracts!$D$4:$D$15,0)</x:f>
        <x:v>47000</x:v>
      </x:c>
      <x:c r="H66" t="n">
        <x:f>XLOOKUP(D66,Settings!$A$4:$A$10,Settings!$B$4:$B$10,1)</x:f>
        <x:v>2</x:v>
      </x:c>
      <x:c r="I66" t="n">
        <x:f>XLOOKUP(B66,'Supply Catalog'!$A$4:$A$13,'Supply Catalog'!$E$4:$E$13,0)</x:f>
        <x:v>0.12</x:v>
      </x:c>
      <x:c r="J66" s="32" t="n">
        <x:f>ROUNDUP(E66*((I66*H66)+(G66*XLOOKUP(B66,'Supply Catalog'!$A$4:$A$13,'Supply Catalog'!$F$4:$F$13,0))+(F66*XLOOKUP(B66,'Supply Catalog'!$A$4:$A$13,'Supply Catalog'!$G$4:$G$13,0))),1)</x:f>
        <x:v>7.6</x:v>
      </x:c>
      <x:c r="K66" s="32" t="n">
        <x:f>ROUNDUP(J66*4.33,1)</x:f>
        <x:v>33</x:v>
      </x:c>
      <x:c r="L66" t="str">
        <x:f>XLOOKUP(A66,Contracts!$A$4:$A$15,Contracts!$G$4:$G$15,"")</x:f>
        <x:v>High</x:v>
      </x:c>
    </x:row>
    <x:row r="67">
      <x:c r="A67" t="str">
        <x:v>Highschool2</x:v>
      </x:c>
      <x:c r="B67" t="str">
        <x:v>SUP004</x:v>
      </x:c>
      <x:c r="C67" t="str">
        <x:v>Glass Cleaner</x:v>
      </x:c>
      <x:c r="D67" t="str">
        <x:f>XLOOKUP(A67,Contracts!$A$4:$A$15,Contracts!$C$4:$C$15,"")</x:f>
        <x:v>Education</x:v>
      </x:c>
      <x:c r="E67" t="n">
        <x:f>XLOOKUP(A67,Contracts!$A$4:$A$15,Contracts!$J$4:$J$15,0)</x:f>
        <x:v>6</x:v>
      </x:c>
      <x:c r="F67" t="n">
        <x:f>XLOOKUP(A67,Contracts!$A$4:$A$15,Contracts!$F$4:$F$15,0)</x:f>
        <x:v>2</x:v>
      </x:c>
      <x:c r="G67" t="n">
        <x:f>XLOOKUP(A67,Contracts!$A$4:$A$15,Contracts!$D$4:$D$15,0)</x:f>
        <x:v>47000</x:v>
      </x:c>
      <x:c r="H67" t="n">
        <x:f>XLOOKUP(D67,Settings!$A$4:$A$10,Settings!$B$4:$B$10,1)</x:f>
        <x:v>2</x:v>
      </x:c>
      <x:c r="I67" t="n">
        <x:f>XLOOKUP(B67,'Supply Catalog'!$A$4:$A$13,'Supply Catalog'!$E$4:$E$13,0)</x:f>
        <x:v>0.08</x:v>
      </x:c>
      <x:c r="J67" s="32" t="n">
        <x:f>ROUNDUP(E67*((I67*H67)+(G67*XLOOKUP(B67,'Supply Catalog'!$A$4:$A$13,'Supply Catalog'!$F$4:$F$13,0))+(F67*XLOOKUP(B67,'Supply Catalog'!$A$4:$A$13,'Supply Catalog'!$G$4:$G$13,0))),1)</x:f>
        <x:v>4.2</x:v>
      </x:c>
      <x:c r="K67" s="32" t="n">
        <x:f>ROUNDUP(J67*4.33,1)</x:f>
        <x:v>18.2</x:v>
      </x:c>
      <x:c r="L67" t="str">
        <x:f>XLOOKUP(A67,Contracts!$A$4:$A$15,Contracts!$G$4:$G$15,"")</x:f>
        <x:v>High</x:v>
      </x:c>
    </x:row>
    <x:row r="68">
      <x:c r="A68" t="str">
        <x:v>Highschool2</x:v>
      </x:c>
      <x:c r="B68" t="str">
        <x:v>SUP005</x:v>
      </x:c>
      <x:c r="C68" t="str">
        <x:v>Paper Towels</x:v>
      </x:c>
      <x:c r="D68" t="str">
        <x:f>XLOOKUP(A68,Contracts!$A$4:$A$15,Contracts!$C$4:$C$15,"")</x:f>
        <x:v>Education</x:v>
      </x:c>
      <x:c r="E68" t="n">
        <x:f>XLOOKUP(A68,Contracts!$A$4:$A$15,Contracts!$J$4:$J$15,0)</x:f>
        <x:v>6</x:v>
      </x:c>
      <x:c r="F68" t="n">
        <x:f>XLOOKUP(A68,Contracts!$A$4:$A$15,Contracts!$F$4:$F$15,0)</x:f>
        <x:v>2</x:v>
      </x:c>
      <x:c r="G68" t="n">
        <x:f>XLOOKUP(A68,Contracts!$A$4:$A$15,Contracts!$D$4:$D$15,0)</x:f>
        <x:v>47000</x:v>
      </x:c>
      <x:c r="H68" t="n">
        <x:f>XLOOKUP(D68,Settings!$A$4:$A$10,Settings!$B$4:$B$10,1)</x:f>
        <x:v>2</x:v>
      </x:c>
      <x:c r="I68" t="n">
        <x:f>XLOOKUP(B68,'Supply Catalog'!$A$4:$A$13,'Supply Catalog'!$E$4:$E$13,0)</x:f>
        <x:v>0.2</x:v>
      </x:c>
      <x:c r="J68" s="32" t="n">
        <x:f>ROUNDUP(E68*((I68*H68)+(G68*XLOOKUP(B68,'Supply Catalog'!$A$4:$A$13,'Supply Catalog'!$F$4:$F$13,0))+(F68*XLOOKUP(B68,'Supply Catalog'!$A$4:$A$13,'Supply Catalog'!$G$4:$G$13,0))),1)</x:f>
        <x:v>8.6</x:v>
      </x:c>
      <x:c r="K68" s="32" t="n">
        <x:f>ROUNDUP(J68*4.33,1)</x:f>
        <x:v>37.3</x:v>
      </x:c>
      <x:c r="L68" t="str">
        <x:f>XLOOKUP(A68,Contracts!$A$4:$A$15,Contracts!$G$4:$G$15,"")</x:f>
        <x:v>High</x:v>
      </x:c>
    </x:row>
    <x:row r="69">
      <x:c r="A69" t="str">
        <x:v>Highschool2</x:v>
      </x:c>
      <x:c r="B69" t="str">
        <x:v>SUP006</x:v>
      </x:c>
      <x:c r="C69" t="str">
        <x:v>Toilet Tissue</x:v>
      </x:c>
      <x:c r="D69" t="str">
        <x:f>XLOOKUP(A69,Contracts!$A$4:$A$15,Contracts!$C$4:$C$15,"")</x:f>
        <x:v>Education</x:v>
      </x:c>
      <x:c r="E69" t="n">
        <x:f>XLOOKUP(A69,Contracts!$A$4:$A$15,Contracts!$J$4:$J$15,0)</x:f>
        <x:v>6</x:v>
      </x:c>
      <x:c r="F69" t="n">
        <x:f>XLOOKUP(A69,Contracts!$A$4:$A$15,Contracts!$F$4:$F$15,0)</x:f>
        <x:v>2</x:v>
      </x:c>
      <x:c r="G69" t="n">
        <x:f>XLOOKUP(A69,Contracts!$A$4:$A$15,Contracts!$D$4:$D$15,0)</x:f>
        <x:v>47000</x:v>
      </x:c>
      <x:c r="H69" t="n">
        <x:f>XLOOKUP(D69,Settings!$A$4:$A$10,Settings!$B$4:$B$10,1)</x:f>
        <x:v>2</x:v>
      </x:c>
      <x:c r="I69" t="n">
        <x:f>XLOOKUP(B69,'Supply Catalog'!$A$4:$A$13,'Supply Catalog'!$E$4:$E$13,0)</x:f>
        <x:v>0.16</x:v>
      </x:c>
      <x:c r="J69" s="32" t="n">
        <x:f>ROUNDUP(E69*((I69*H69)+(G69*XLOOKUP(B69,'Supply Catalog'!$A$4:$A$13,'Supply Catalog'!$F$4:$F$13,0))+(F69*XLOOKUP(B69,'Supply Catalog'!$A$4:$A$13,'Supply Catalog'!$G$4:$G$13,0))),1)</x:f>
        <x:v>7.5</x:v>
      </x:c>
      <x:c r="K69" s="32" t="n">
        <x:f>ROUNDUP(J69*4.33,1)</x:f>
        <x:v>32.5</x:v>
      </x:c>
      <x:c r="L69" t="str">
        <x:f>XLOOKUP(A69,Contracts!$A$4:$A$15,Contracts!$G$4:$G$15,"")</x:f>
        <x:v>High</x:v>
      </x:c>
    </x:row>
    <x:row r="70">
      <x:c r="A70" t="str">
        <x:v>Highschool2</x:v>
      </x:c>
      <x:c r="B70" t="str">
        <x:v>SUP007</x:v>
      </x:c>
      <x:c r="C70" t="str">
        <x:v>Microfiber Towels</x:v>
      </x:c>
      <x:c r="D70" t="str">
        <x:f>XLOOKUP(A70,Contracts!$A$4:$A$15,Contracts!$C$4:$C$15,"")</x:f>
        <x:v>Education</x:v>
      </x:c>
      <x:c r="E70" t="n">
        <x:f>XLOOKUP(A70,Contracts!$A$4:$A$15,Contracts!$J$4:$J$15,0)</x:f>
        <x:v>6</x:v>
      </x:c>
      <x:c r="F70" t="n">
        <x:f>XLOOKUP(A70,Contracts!$A$4:$A$15,Contracts!$F$4:$F$15,0)</x:f>
        <x:v>2</x:v>
      </x:c>
      <x:c r="G70" t="n">
        <x:f>XLOOKUP(A70,Contracts!$A$4:$A$15,Contracts!$D$4:$D$15,0)</x:f>
        <x:v>47000</x:v>
      </x:c>
      <x:c r="H70" t="n">
        <x:f>XLOOKUP(D70,Settings!$A$4:$A$10,Settings!$B$4:$B$10,1)</x:f>
        <x:v>2</x:v>
      </x:c>
      <x:c r="I70" t="n">
        <x:f>XLOOKUP(B70,'Supply Catalog'!$A$4:$A$13,'Supply Catalog'!$E$4:$E$13,0)</x:f>
        <x:v>0.06</x:v>
      </x:c>
      <x:c r="J70" s="32" t="n">
        <x:f>ROUNDUP(E70*((I70*H70)+(G70*XLOOKUP(B70,'Supply Catalog'!$A$4:$A$13,'Supply Catalog'!$F$4:$F$13,0))+(F70*XLOOKUP(B70,'Supply Catalog'!$A$4:$A$13,'Supply Catalog'!$G$4:$G$13,0))),1)</x:f>
        <x:v>3.1</x:v>
      </x:c>
      <x:c r="K70" s="32" t="n">
        <x:f>ROUNDUP(J70*4.33,1)</x:f>
        <x:v>13.5</x:v>
      </x:c>
      <x:c r="L70" t="str">
        <x:f>XLOOKUP(A70,Contracts!$A$4:$A$15,Contracts!$G$4:$G$15,"")</x:f>
        <x:v>High</x:v>
      </x:c>
    </x:row>
    <x:row r="71">
      <x:c r="A71" t="str">
        <x:v>Highschool2</x:v>
      </x:c>
      <x:c r="B71" t="str">
        <x:v>SUP008</x:v>
      </x:c>
      <x:c r="C71" t="str">
        <x:v>Mop Heads</x:v>
      </x:c>
      <x:c r="D71" t="str">
        <x:f>XLOOKUP(A71,Contracts!$A$4:$A$15,Contracts!$C$4:$C$15,"")</x:f>
        <x:v>Education</x:v>
      </x:c>
      <x:c r="E71" t="n">
        <x:f>XLOOKUP(A71,Contracts!$A$4:$A$15,Contracts!$J$4:$J$15,0)</x:f>
        <x:v>6</x:v>
      </x:c>
      <x:c r="F71" t="n">
        <x:f>XLOOKUP(A71,Contracts!$A$4:$A$15,Contracts!$F$4:$F$15,0)</x:f>
        <x:v>2</x:v>
      </x:c>
      <x:c r="G71" t="n">
        <x:f>XLOOKUP(A71,Contracts!$A$4:$A$15,Contracts!$D$4:$D$15,0)</x:f>
        <x:v>47000</x:v>
      </x:c>
      <x:c r="H71" t="n">
        <x:f>XLOOKUP(D71,Settings!$A$4:$A$10,Settings!$B$4:$B$10,1)</x:f>
        <x:v>2</x:v>
      </x:c>
      <x:c r="I71" t="n">
        <x:f>XLOOKUP(B71,'Supply Catalog'!$A$4:$A$13,'Supply Catalog'!$E$4:$E$13,0)</x:f>
        <x:v>0.04</x:v>
      </x:c>
      <x:c r="J71" s="32" t="n">
        <x:f>ROUNDUP(E71*((I71*H71)+(G71*XLOOKUP(B71,'Supply Catalog'!$A$4:$A$13,'Supply Catalog'!$F$4:$F$13,0))+(F71*XLOOKUP(B71,'Supply Catalog'!$A$4:$A$13,'Supply Catalog'!$G$4:$G$13,0))),1)</x:f>
        <x:v>1.9</x:v>
      </x:c>
      <x:c r="K71" s="32" t="n">
        <x:f>ROUNDUP(J71*4.33,1)</x:f>
        <x:v>8.3</x:v>
      </x:c>
      <x:c r="L71" t="str">
        <x:f>XLOOKUP(A71,Contracts!$A$4:$A$15,Contracts!$G$4:$G$15,"")</x:f>
        <x:v>High</x:v>
      </x:c>
    </x:row>
    <x:row r="72">
      <x:c r="A72" t="str">
        <x:v>Highschool2</x:v>
      </x:c>
      <x:c r="B72" t="str">
        <x:v>SUP009</x:v>
      </x:c>
      <x:c r="C72" t="str">
        <x:v>Floor Cleaner</x:v>
      </x:c>
      <x:c r="D72" t="str">
        <x:f>XLOOKUP(A72,Contracts!$A$4:$A$15,Contracts!$C$4:$C$15,"")</x:f>
        <x:v>Education</x:v>
      </x:c>
      <x:c r="E72" t="n">
        <x:f>XLOOKUP(A72,Contracts!$A$4:$A$15,Contracts!$J$4:$J$15,0)</x:f>
        <x:v>6</x:v>
      </x:c>
      <x:c r="F72" t="n">
        <x:f>XLOOKUP(A72,Contracts!$A$4:$A$15,Contracts!$F$4:$F$15,0)</x:f>
        <x:v>2</x:v>
      </x:c>
      <x:c r="G72" t="n">
        <x:f>XLOOKUP(A72,Contracts!$A$4:$A$15,Contracts!$D$4:$D$15,0)</x:f>
        <x:v>47000</x:v>
      </x:c>
      <x:c r="H72" t="n">
        <x:f>XLOOKUP(D72,Settings!$A$4:$A$10,Settings!$B$4:$B$10,1)</x:f>
        <x:v>2</x:v>
      </x:c>
      <x:c r="I72" t="n">
        <x:f>XLOOKUP(B72,'Supply Catalog'!$A$4:$A$13,'Supply Catalog'!$E$4:$E$13,0)</x:f>
        <x:v>0.1</x:v>
      </x:c>
      <x:c r="J72" s="32" t="n">
        <x:f>ROUNDUP(E72*((I72*H72)+(G72*XLOOKUP(B72,'Supply Catalog'!$A$4:$A$13,'Supply Catalog'!$F$4:$F$13,0))+(F72*XLOOKUP(B72,'Supply Catalog'!$A$4:$A$13,'Supply Catalog'!$G$4:$G$13,0))),1)</x:f>
        <x:v>6.8</x:v>
      </x:c>
      <x:c r="K72" s="32" t="n">
        <x:f>ROUNDUP(J72*4.33,1)</x:f>
        <x:v>29.5</x:v>
      </x:c>
      <x:c r="L72" t="str">
        <x:f>XLOOKUP(A72,Contracts!$A$4:$A$15,Contracts!$G$4:$G$15,"")</x:f>
        <x:v>High</x:v>
      </x:c>
    </x:row>
    <x:row r="73">
      <x:c r="A73" t="str">
        <x:v>Highschool2</x:v>
      </x:c>
      <x:c r="B73" t="str">
        <x:v>SUP010</x:v>
      </x:c>
      <x:c r="C73" t="str">
        <x:v>Hand Soap Refill</x:v>
      </x:c>
      <x:c r="D73" t="str">
        <x:f>XLOOKUP(A73,Contracts!$A$4:$A$15,Contracts!$C$4:$C$15,"")</x:f>
        <x:v>Education</x:v>
      </x:c>
      <x:c r="E73" t="n">
        <x:f>XLOOKUP(A73,Contracts!$A$4:$A$15,Contracts!$J$4:$J$15,0)</x:f>
        <x:v>6</x:v>
      </x:c>
      <x:c r="F73" t="n">
        <x:f>XLOOKUP(A73,Contracts!$A$4:$A$15,Contracts!$F$4:$F$15,0)</x:f>
        <x:v>2</x:v>
      </x:c>
      <x:c r="G73" t="n">
        <x:f>XLOOKUP(A73,Contracts!$A$4:$A$15,Contracts!$D$4:$D$15,0)</x:f>
        <x:v>47000</x:v>
      </x:c>
      <x:c r="H73" t="n">
        <x:f>XLOOKUP(D73,Settings!$A$4:$A$10,Settings!$B$4:$B$10,1)</x:f>
        <x:v>2</x:v>
      </x:c>
      <x:c r="I73" t="n">
        <x:f>XLOOKUP(B73,'Supply Catalog'!$A$4:$A$13,'Supply Catalog'!$E$4:$E$13,0)</x:f>
        <x:v>0.1</x:v>
      </x:c>
      <x:c r="J73" s="32" t="n">
        <x:f>ROUNDUP(E73*((I73*H73)+(G73*XLOOKUP(B73,'Supply Catalog'!$A$4:$A$13,'Supply Catalog'!$F$4:$F$13,0))+(F73*XLOOKUP(B73,'Supply Catalog'!$A$4:$A$13,'Supply Catalog'!$G$4:$G$13,0))),1)</x:f>
        <x:v>5</x:v>
      </x:c>
      <x:c r="K73" s="32" t="n">
        <x:f>ROUNDUP(J73*4.33,1)</x:f>
        <x:v>21.7</x:v>
      </x:c>
      <x:c r="L73" t="str">
        <x:f>XLOOKUP(A73,Contracts!$A$4:$A$15,Contracts!$G$4:$G$15,"")</x:f>
        <x:v>High</x:v>
      </x:c>
    </x:row>
    <x:row r="74">
      <x:c r="A74" t="str">
        <x:v>FireStation2</x:v>
      </x:c>
      <x:c r="B74" t="str">
        <x:v>SUP001</x:v>
      </x:c>
      <x:c r="C74" t="str">
        <x:v>Trash Liners 55 Gal</x:v>
      </x:c>
      <x:c r="D74" t="str">
        <x:f>XLOOKUP(A74,Contracts!$A$4:$A$15,Contracts!$C$4:$C$15,"")</x:f>
        <x:v>Industrial</x:v>
      </x:c>
      <x:c r="E74" t="n">
        <x:f>XLOOKUP(A74,Contracts!$A$4:$A$15,Contracts!$J$4:$J$15,0)</x:f>
        <x:v>6</x:v>
      </x:c>
      <x:c r="F74" t="n">
        <x:f>XLOOKUP(A74,Contracts!$A$4:$A$15,Contracts!$F$4:$F$15,0)</x:f>
        <x:v>1</x:v>
      </x:c>
      <x:c r="G74" t="n">
        <x:f>XLOOKUP(A74,Contracts!$A$4:$A$15,Contracts!$D$4:$D$15,0)</x:f>
        <x:v>8000</x:v>
      </x:c>
      <x:c r="H74" t="n">
        <x:f>XLOOKUP(D74,Settings!$A$4:$A$10,Settings!$B$4:$B$10,1)</x:f>
        <x:v>1.7</x:v>
      </x:c>
      <x:c r="I74" t="n">
        <x:f>XLOOKUP(B74,'Supply Catalog'!$A$4:$A$13,'Supply Catalog'!$E$4:$E$13,0)</x:f>
        <x:v>0.18</x:v>
      </x:c>
      <x:c r="J74" s="32" t="n">
        <x:f>ROUNDUP(E74*((I74*H74)+(G74*XLOOKUP(B74,'Supply Catalog'!$A$4:$A$13,'Supply Catalog'!$F$4:$F$13,0))+(F74*XLOOKUP(B74,'Supply Catalog'!$A$4:$A$13,'Supply Catalog'!$G$4:$G$13,0))),1)</x:f>
        <x:v>2.9</x:v>
      </x:c>
      <x:c r="K74" s="32" t="n">
        <x:f>ROUNDUP(J74*4.33,1)</x:f>
        <x:v>12.6</x:v>
      </x:c>
      <x:c r="L74" t="str">
        <x:f>XLOOKUP(A74,Contracts!$A$4:$A$15,Contracts!$G$4:$G$15,"")</x:f>
        <x:v>Normal</x:v>
      </x:c>
    </x:row>
    <x:row r="75">
      <x:c r="A75" t="str">
        <x:v>FireStation2</x:v>
      </x:c>
      <x:c r="B75" t="str">
        <x:v>SUP002</x:v>
      </x:c>
      <x:c r="C75" t="str">
        <x:v>Nitrile Gloves</x:v>
      </x:c>
      <x:c r="D75" t="str">
        <x:f>XLOOKUP(A75,Contracts!$A$4:$A$15,Contracts!$C$4:$C$15,"")</x:f>
        <x:v>Industrial</x:v>
      </x:c>
      <x:c r="E75" t="n">
        <x:f>XLOOKUP(A75,Contracts!$A$4:$A$15,Contracts!$J$4:$J$15,0)</x:f>
        <x:v>6</x:v>
      </x:c>
      <x:c r="F75" t="n">
        <x:f>XLOOKUP(A75,Contracts!$A$4:$A$15,Contracts!$F$4:$F$15,0)</x:f>
        <x:v>1</x:v>
      </x:c>
      <x:c r="G75" t="n">
        <x:f>XLOOKUP(A75,Contracts!$A$4:$A$15,Contracts!$D$4:$D$15,0)</x:f>
        <x:v>8000</x:v>
      </x:c>
      <x:c r="H75" t="n">
        <x:f>XLOOKUP(D75,Settings!$A$4:$A$10,Settings!$B$4:$B$10,1)</x:f>
        <x:v>1.7</x:v>
      </x:c>
      <x:c r="I75" t="n">
        <x:f>XLOOKUP(B75,'Supply Catalog'!$A$4:$A$13,'Supply Catalog'!$E$4:$E$13,0)</x:f>
        <x:v>0.45</x:v>
      </x:c>
      <x:c r="J75" s="32" t="n">
        <x:f>ROUNDUP(E75*((I75*H75)+(G75*XLOOKUP(B75,'Supply Catalog'!$A$4:$A$13,'Supply Catalog'!$F$4:$F$13,0))+(F75*XLOOKUP(B75,'Supply Catalog'!$A$4:$A$13,'Supply Catalog'!$G$4:$G$13,0))),1)</x:f>
        <x:v>5.5</x:v>
      </x:c>
      <x:c r="K75" s="32" t="n">
        <x:f>ROUNDUP(J75*4.33,1)</x:f>
        <x:v>23.9</x:v>
      </x:c>
      <x:c r="L75" t="str">
        <x:f>XLOOKUP(A75,Contracts!$A$4:$A$15,Contracts!$G$4:$G$15,"")</x:f>
        <x:v>Normal</x:v>
      </x:c>
    </x:row>
    <x:row r="76">
      <x:c r="A76" t="str">
        <x:v>FireStation2</x:v>
      </x:c>
      <x:c r="B76" t="str">
        <x:v>SUP003</x:v>
      </x:c>
      <x:c r="C76" t="str">
        <x:v>Disinfectant Concentrate</x:v>
      </x:c>
      <x:c r="D76" t="str">
        <x:f>XLOOKUP(A76,Contracts!$A$4:$A$15,Contracts!$C$4:$C$15,"")</x:f>
        <x:v>Industrial</x:v>
      </x:c>
      <x:c r="E76" t="n">
        <x:f>XLOOKUP(A76,Contracts!$A$4:$A$15,Contracts!$J$4:$J$15,0)</x:f>
        <x:v>6</x:v>
      </x:c>
      <x:c r="F76" t="n">
        <x:f>XLOOKUP(A76,Contracts!$A$4:$A$15,Contracts!$F$4:$F$15,0)</x:f>
        <x:v>1</x:v>
      </x:c>
      <x:c r="G76" t="n">
        <x:f>XLOOKUP(A76,Contracts!$A$4:$A$15,Contracts!$D$4:$D$15,0)</x:f>
        <x:v>8000</x:v>
      </x:c>
      <x:c r="H76" t="n">
        <x:f>XLOOKUP(D76,Settings!$A$4:$A$10,Settings!$B$4:$B$10,1)</x:f>
        <x:v>1.7</x:v>
      </x:c>
      <x:c r="I76" t="n">
        <x:f>XLOOKUP(B76,'Supply Catalog'!$A$4:$A$13,'Supply Catalog'!$E$4:$E$13,0)</x:f>
        <x:v>0.12</x:v>
      </x:c>
      <x:c r="J76" s="32" t="n">
        <x:f>ROUNDUP(E76*((I76*H76)+(G76*XLOOKUP(B76,'Supply Catalog'!$A$4:$A$13,'Supply Catalog'!$F$4:$F$13,0))+(F76*XLOOKUP(B76,'Supply Catalog'!$A$4:$A$13,'Supply Catalog'!$G$4:$G$13,0))),1)</x:f>
        <x:v>2.5</x:v>
      </x:c>
      <x:c r="K76" s="32" t="n">
        <x:f>ROUNDUP(J76*4.33,1)</x:f>
        <x:v>10.9</x:v>
      </x:c>
      <x:c r="L76" t="str">
        <x:f>XLOOKUP(A76,Contracts!$A$4:$A$15,Contracts!$G$4:$G$15,"")</x:f>
        <x:v>Normal</x:v>
      </x:c>
    </x:row>
    <x:row r="77">
      <x:c r="A77" t="str">
        <x:v>FireStation2</x:v>
      </x:c>
      <x:c r="B77" t="str">
        <x:v>SUP004</x:v>
      </x:c>
      <x:c r="C77" t="str">
        <x:v>Glass Cleaner</x:v>
      </x:c>
      <x:c r="D77" t="str">
        <x:f>XLOOKUP(A77,Contracts!$A$4:$A$15,Contracts!$C$4:$C$15,"")</x:f>
        <x:v>Industrial</x:v>
      </x:c>
      <x:c r="E77" t="n">
        <x:f>XLOOKUP(A77,Contracts!$A$4:$A$15,Contracts!$J$4:$J$15,0)</x:f>
        <x:v>6</x:v>
      </x:c>
      <x:c r="F77" t="n">
        <x:f>XLOOKUP(A77,Contracts!$A$4:$A$15,Contracts!$F$4:$F$15,0)</x:f>
        <x:v>1</x:v>
      </x:c>
      <x:c r="G77" t="n">
        <x:f>XLOOKUP(A77,Contracts!$A$4:$A$15,Contracts!$D$4:$D$15,0)</x:f>
        <x:v>8000</x:v>
      </x:c>
      <x:c r="H77" t="n">
        <x:f>XLOOKUP(D77,Settings!$A$4:$A$10,Settings!$B$4:$B$10,1)</x:f>
        <x:v>1.7</x:v>
      </x:c>
      <x:c r="I77" t="n">
        <x:f>XLOOKUP(B77,'Supply Catalog'!$A$4:$A$13,'Supply Catalog'!$E$4:$E$13,0)</x:f>
        <x:v>0.08</x:v>
      </x:c>
      <x:c r="J77" s="32" t="n">
        <x:f>ROUNDUP(E77*((I77*H77)+(G77*XLOOKUP(B77,'Supply Catalog'!$A$4:$A$13,'Supply Catalog'!$F$4:$F$13,0))+(F77*XLOOKUP(B77,'Supply Catalog'!$A$4:$A$13,'Supply Catalog'!$G$4:$G$13,0))),1)</x:f>
        <x:v>1.5</x:v>
      </x:c>
      <x:c r="K77" s="32" t="n">
        <x:f>ROUNDUP(J77*4.33,1)</x:f>
        <x:v>6.5</x:v>
      </x:c>
      <x:c r="L77" t="str">
        <x:f>XLOOKUP(A77,Contracts!$A$4:$A$15,Contracts!$G$4:$G$15,"")</x:f>
        <x:v>Normal</x:v>
      </x:c>
    </x:row>
    <x:row r="78">
      <x:c r="A78" t="str">
        <x:v>FireStation2</x:v>
      </x:c>
      <x:c r="B78" t="str">
        <x:v>SUP005</x:v>
      </x:c>
      <x:c r="C78" t="str">
        <x:v>Paper Towels</x:v>
      </x:c>
      <x:c r="D78" t="str">
        <x:f>XLOOKUP(A78,Contracts!$A$4:$A$15,Contracts!$C$4:$C$15,"")</x:f>
        <x:v>Industrial</x:v>
      </x:c>
      <x:c r="E78" t="n">
        <x:f>XLOOKUP(A78,Contracts!$A$4:$A$15,Contracts!$J$4:$J$15,0)</x:f>
        <x:v>6</x:v>
      </x:c>
      <x:c r="F78" t="n">
        <x:f>XLOOKUP(A78,Contracts!$A$4:$A$15,Contracts!$F$4:$F$15,0)</x:f>
        <x:v>1</x:v>
      </x:c>
      <x:c r="G78" t="n">
        <x:f>XLOOKUP(A78,Contracts!$A$4:$A$15,Contracts!$D$4:$D$15,0)</x:f>
        <x:v>8000</x:v>
      </x:c>
      <x:c r="H78" t="n">
        <x:f>XLOOKUP(D78,Settings!$A$4:$A$10,Settings!$B$4:$B$10,1)</x:f>
        <x:v>1.7</x:v>
      </x:c>
      <x:c r="I78" t="n">
        <x:f>XLOOKUP(B78,'Supply Catalog'!$A$4:$A$13,'Supply Catalog'!$E$4:$E$13,0)</x:f>
        <x:v>0.2</x:v>
      </x:c>
      <x:c r="J78" s="32" t="n">
        <x:f>ROUNDUP(E78*((I78*H78)+(G78*XLOOKUP(B78,'Supply Catalog'!$A$4:$A$13,'Supply Catalog'!$F$4:$F$13,0))+(F78*XLOOKUP(B78,'Supply Catalog'!$A$4:$A$13,'Supply Catalog'!$G$4:$G$13,0))),1)</x:f>
        <x:v>3.3</x:v>
      </x:c>
      <x:c r="K78" s="32" t="n">
        <x:f>ROUNDUP(J78*4.33,1)</x:f>
        <x:v>14.3</x:v>
      </x:c>
      <x:c r="L78" t="str">
        <x:f>XLOOKUP(A78,Contracts!$A$4:$A$15,Contracts!$G$4:$G$15,"")</x:f>
        <x:v>Normal</x:v>
      </x:c>
    </x:row>
    <x:row r="79">
      <x:c r="A79" t="str">
        <x:v>FireStation2</x:v>
      </x:c>
      <x:c r="B79" t="str">
        <x:v>SUP006</x:v>
      </x:c>
      <x:c r="C79" t="str">
        <x:v>Toilet Tissue</x:v>
      </x:c>
      <x:c r="D79" t="str">
        <x:f>XLOOKUP(A79,Contracts!$A$4:$A$15,Contracts!$C$4:$C$15,"")</x:f>
        <x:v>Industrial</x:v>
      </x:c>
      <x:c r="E79" t="n">
        <x:f>XLOOKUP(A79,Contracts!$A$4:$A$15,Contracts!$J$4:$J$15,0)</x:f>
        <x:v>6</x:v>
      </x:c>
      <x:c r="F79" t="n">
        <x:f>XLOOKUP(A79,Contracts!$A$4:$A$15,Contracts!$F$4:$F$15,0)</x:f>
        <x:v>1</x:v>
      </x:c>
      <x:c r="G79" t="n">
        <x:f>XLOOKUP(A79,Contracts!$A$4:$A$15,Contracts!$D$4:$D$15,0)</x:f>
        <x:v>8000</x:v>
      </x:c>
      <x:c r="H79" t="n">
        <x:f>XLOOKUP(D79,Settings!$A$4:$A$10,Settings!$B$4:$B$10,1)</x:f>
        <x:v>1.7</x:v>
      </x:c>
      <x:c r="I79" t="n">
        <x:f>XLOOKUP(B79,'Supply Catalog'!$A$4:$A$13,'Supply Catalog'!$E$4:$E$13,0)</x:f>
        <x:v>0.16</x:v>
      </x:c>
      <x:c r="J79" s="32" t="n">
        <x:f>ROUNDUP(E79*((I79*H79)+(G79*XLOOKUP(B79,'Supply Catalog'!$A$4:$A$13,'Supply Catalog'!$F$4:$F$13,0))+(F79*XLOOKUP(B79,'Supply Catalog'!$A$4:$A$13,'Supply Catalog'!$G$4:$G$13,0))),1)</x:f>
        <x:v>2.8</x:v>
      </x:c>
      <x:c r="K79" s="32" t="n">
        <x:f>ROUNDUP(J79*4.33,1)</x:f>
        <x:v>12.2</x:v>
      </x:c>
      <x:c r="L79" t="str">
        <x:f>XLOOKUP(A79,Contracts!$A$4:$A$15,Contracts!$G$4:$G$15,"")</x:f>
        <x:v>Normal</x:v>
      </x:c>
    </x:row>
    <x:row r="80">
      <x:c r="A80" t="str">
        <x:v>FireStation2</x:v>
      </x:c>
      <x:c r="B80" t="str">
        <x:v>SUP007</x:v>
      </x:c>
      <x:c r="C80" t="str">
        <x:v>Microfiber Towels</x:v>
      </x:c>
      <x:c r="D80" t="str">
        <x:f>XLOOKUP(A80,Contracts!$A$4:$A$15,Contracts!$C$4:$C$15,"")</x:f>
        <x:v>Industrial</x:v>
      </x:c>
      <x:c r="E80" t="n">
        <x:f>XLOOKUP(A80,Contracts!$A$4:$A$15,Contracts!$J$4:$J$15,0)</x:f>
        <x:v>6</x:v>
      </x:c>
      <x:c r="F80" t="n">
        <x:f>XLOOKUP(A80,Contracts!$A$4:$A$15,Contracts!$F$4:$F$15,0)</x:f>
        <x:v>1</x:v>
      </x:c>
      <x:c r="G80" t="n">
        <x:f>XLOOKUP(A80,Contracts!$A$4:$A$15,Contracts!$D$4:$D$15,0)</x:f>
        <x:v>8000</x:v>
      </x:c>
      <x:c r="H80" t="n">
        <x:f>XLOOKUP(D80,Settings!$A$4:$A$10,Settings!$B$4:$B$10,1)</x:f>
        <x:v>1.7</x:v>
      </x:c>
      <x:c r="I80" t="n">
        <x:f>XLOOKUP(B80,'Supply Catalog'!$A$4:$A$13,'Supply Catalog'!$E$4:$E$13,0)</x:f>
        <x:v>0.06</x:v>
      </x:c>
      <x:c r="J80" s="32" t="n">
        <x:f>ROUNDUP(E80*((I80*H80)+(G80*XLOOKUP(B80,'Supply Catalog'!$A$4:$A$13,'Supply Catalog'!$F$4:$F$13,0))+(F80*XLOOKUP(B80,'Supply Catalog'!$A$4:$A$13,'Supply Catalog'!$G$4:$G$13,0))),1)</x:f>
        <x:v>1.3</x:v>
      </x:c>
      <x:c r="K80" s="32" t="n">
        <x:f>ROUNDUP(J80*4.33,1)</x:f>
        <x:v>5.7</x:v>
      </x:c>
      <x:c r="L80" t="str">
        <x:f>XLOOKUP(A80,Contracts!$A$4:$A$15,Contracts!$G$4:$G$15,"")</x:f>
        <x:v>Normal</x:v>
      </x:c>
    </x:row>
    <x:row r="81">
      <x:c r="A81" t="str">
        <x:v>FireStation2</x:v>
      </x:c>
      <x:c r="B81" t="str">
        <x:v>SUP008</x:v>
      </x:c>
      <x:c r="C81" t="str">
        <x:v>Mop Heads</x:v>
      </x:c>
      <x:c r="D81" t="str">
        <x:f>XLOOKUP(A81,Contracts!$A$4:$A$15,Contracts!$C$4:$C$15,"")</x:f>
        <x:v>Industrial</x:v>
      </x:c>
      <x:c r="E81" t="n">
        <x:f>XLOOKUP(A81,Contracts!$A$4:$A$15,Contracts!$J$4:$J$15,0)</x:f>
        <x:v>6</x:v>
      </x:c>
      <x:c r="F81" t="n">
        <x:f>XLOOKUP(A81,Contracts!$A$4:$A$15,Contracts!$F$4:$F$15,0)</x:f>
        <x:v>1</x:v>
      </x:c>
      <x:c r="G81" t="n">
        <x:f>XLOOKUP(A81,Contracts!$A$4:$A$15,Contracts!$D$4:$D$15,0)</x:f>
        <x:v>8000</x:v>
      </x:c>
      <x:c r="H81" t="n">
        <x:f>XLOOKUP(D81,Settings!$A$4:$A$10,Settings!$B$4:$B$10,1)</x:f>
        <x:v>1.7</x:v>
      </x:c>
      <x:c r="I81" t="n">
        <x:f>XLOOKUP(B81,'Supply Catalog'!$A$4:$A$13,'Supply Catalog'!$E$4:$E$13,0)</x:f>
        <x:v>0.04</x:v>
      </x:c>
      <x:c r="J81" s="32" t="n">
        <x:f>ROUNDUP(E81*((I81*H81)+(G81*XLOOKUP(B81,'Supply Catalog'!$A$4:$A$13,'Supply Catalog'!$F$4:$F$13,0))+(F81*XLOOKUP(B81,'Supply Catalog'!$A$4:$A$13,'Supply Catalog'!$G$4:$G$13,0))),1)</x:f>
        <x:v>0.8</x:v>
      </x:c>
      <x:c r="K81" s="32" t="n">
        <x:f>ROUNDUP(J81*4.33,1)</x:f>
        <x:v>3.5</x:v>
      </x:c>
      <x:c r="L81" t="str">
        <x:f>XLOOKUP(A81,Contracts!$A$4:$A$15,Contracts!$G$4:$G$15,"")</x:f>
        <x:v>Normal</x:v>
      </x:c>
    </x:row>
    <x:row r="82">
      <x:c r="A82" t="str">
        <x:v>FireStation2</x:v>
      </x:c>
      <x:c r="B82" t="str">
        <x:v>SUP009</x:v>
      </x:c>
      <x:c r="C82" t="str">
        <x:v>Floor Cleaner</x:v>
      </x:c>
      <x:c r="D82" t="str">
        <x:f>XLOOKUP(A82,Contracts!$A$4:$A$15,Contracts!$C$4:$C$15,"")</x:f>
        <x:v>Industrial</x:v>
      </x:c>
      <x:c r="E82" t="n">
        <x:f>XLOOKUP(A82,Contracts!$A$4:$A$15,Contracts!$J$4:$J$15,0)</x:f>
        <x:v>6</x:v>
      </x:c>
      <x:c r="F82" t="n">
        <x:f>XLOOKUP(A82,Contracts!$A$4:$A$15,Contracts!$F$4:$F$15,0)</x:f>
        <x:v>1</x:v>
      </x:c>
      <x:c r="G82" t="n">
        <x:f>XLOOKUP(A82,Contracts!$A$4:$A$15,Contracts!$D$4:$D$15,0)</x:f>
        <x:v>8000</x:v>
      </x:c>
      <x:c r="H82" t="n">
        <x:f>XLOOKUP(D82,Settings!$A$4:$A$10,Settings!$B$4:$B$10,1)</x:f>
        <x:v>1.7</x:v>
      </x:c>
      <x:c r="I82" t="n">
        <x:f>XLOOKUP(B82,'Supply Catalog'!$A$4:$A$13,'Supply Catalog'!$E$4:$E$13,0)</x:f>
        <x:v>0.1</x:v>
      </x:c>
      <x:c r="J82" s="32" t="n">
        <x:f>ROUNDUP(E82*((I82*H82)+(G82*XLOOKUP(B82,'Supply Catalog'!$A$4:$A$13,'Supply Catalog'!$F$4:$F$13,0))+(F82*XLOOKUP(B82,'Supply Catalog'!$A$4:$A$13,'Supply Catalog'!$G$4:$G$13,0))),1)</x:f>
        <x:v>2.2</x:v>
      </x:c>
      <x:c r="K82" s="32" t="n">
        <x:f>ROUNDUP(J82*4.33,1)</x:f>
        <x:v>9.6</x:v>
      </x:c>
      <x:c r="L82" t="str">
        <x:f>XLOOKUP(A82,Contracts!$A$4:$A$15,Contracts!$G$4:$G$15,"")</x:f>
        <x:v>Normal</x:v>
      </x:c>
    </x:row>
    <x:row r="83">
      <x:c r="A83" t="str">
        <x:v>FireStation2</x:v>
      </x:c>
      <x:c r="B83" t="str">
        <x:v>SUP010</x:v>
      </x:c>
      <x:c r="C83" t="str">
        <x:v>Hand Soap Refill</x:v>
      </x:c>
      <x:c r="D83" t="str">
        <x:f>XLOOKUP(A83,Contracts!$A$4:$A$15,Contracts!$C$4:$C$15,"")</x:f>
        <x:v>Industrial</x:v>
      </x:c>
      <x:c r="E83" t="n">
        <x:f>XLOOKUP(A83,Contracts!$A$4:$A$15,Contracts!$J$4:$J$15,0)</x:f>
        <x:v>6</x:v>
      </x:c>
      <x:c r="F83" t="n">
        <x:f>XLOOKUP(A83,Contracts!$A$4:$A$15,Contracts!$F$4:$F$15,0)</x:f>
        <x:v>1</x:v>
      </x:c>
      <x:c r="G83" t="n">
        <x:f>XLOOKUP(A83,Contracts!$A$4:$A$15,Contracts!$D$4:$D$15,0)</x:f>
        <x:v>8000</x:v>
      </x:c>
      <x:c r="H83" t="n">
        <x:f>XLOOKUP(D83,Settings!$A$4:$A$10,Settings!$B$4:$B$10,1)</x:f>
        <x:v>1.7</x:v>
      </x:c>
      <x:c r="I83" t="n">
        <x:f>XLOOKUP(B83,'Supply Catalog'!$A$4:$A$13,'Supply Catalog'!$E$4:$E$13,0)</x:f>
        <x:v>0.1</x:v>
      </x:c>
      <x:c r="J83" s="32" t="n">
        <x:f>ROUNDUP(E83*((I83*H83)+(G83*XLOOKUP(B83,'Supply Catalog'!$A$4:$A$13,'Supply Catalog'!$F$4:$F$13,0))+(F83*XLOOKUP(B83,'Supply Catalog'!$A$4:$A$13,'Supply Catalog'!$G$4:$G$13,0))),1)</x:f>
        <x:v>1.8</x:v>
      </x:c>
      <x:c r="K83" s="32" t="n">
        <x:f>ROUNDUP(J83*4.33,1)</x:f>
        <x:v>7.8</x:v>
      </x:c>
      <x:c r="L83" t="str">
        <x:f>XLOOKUP(A83,Contracts!$A$4:$A$15,Contracts!$G$4:$G$15,"")</x:f>
        <x:v>Normal</x:v>
      </x:c>
    </x:row>
    <x:row r="84">
      <x:c r="A84" t="str">
        <x:v>CityHall3</x:v>
      </x:c>
      <x:c r="B84" t="str">
        <x:v>SUP001</x:v>
      </x:c>
      <x:c r="C84" t="str">
        <x:v>Trash Liners 55 Gal</x:v>
      </x:c>
      <x:c r="D84" t="str">
        <x:f>XLOOKUP(A84,Contracts!$A$4:$A$15,Contracts!$C$4:$C$15,"")</x:f>
        <x:v>Office</x:v>
      </x:c>
      <x:c r="E84" t="n">
        <x:f>XLOOKUP(A84,Contracts!$A$4:$A$15,Contracts!$J$4:$J$15,0)</x:f>
        <x:v>6</x:v>
      </x:c>
      <x:c r="F84" t="n">
        <x:f>XLOOKUP(A84,Contracts!$A$4:$A$15,Contracts!$F$4:$F$15,0)</x:f>
        <x:v>2</x:v>
      </x:c>
      <x:c r="G84" t="n">
        <x:f>XLOOKUP(A84,Contracts!$A$4:$A$15,Contracts!$D$4:$D$15,0)</x:f>
        <x:v>22000</x:v>
      </x:c>
      <x:c r="H84" t="n">
        <x:f>XLOOKUP(D84,Settings!$A$4:$A$10,Settings!$B$4:$B$10,1)</x:f>
        <x:v>1</x:v>
      </x:c>
      <x:c r="I84" t="n">
        <x:f>XLOOKUP(B84,'Supply Catalog'!$A$4:$A$13,'Supply Catalog'!$E$4:$E$13,0)</x:f>
        <x:v>0.18</x:v>
      </x:c>
      <x:c r="J84" s="32" t="n">
        <x:f>ROUNDUP(E84*((I84*H84)+(G84*XLOOKUP(B84,'Supply Catalog'!$A$4:$A$13,'Supply Catalog'!$F$4:$F$13,0))+(F84*XLOOKUP(B84,'Supply Catalog'!$A$4:$A$13,'Supply Catalog'!$G$4:$G$13,0))),1)</x:f>
        <x:v>3.7</x:v>
      </x:c>
      <x:c r="K84" s="32" t="n">
        <x:f>ROUNDUP(J84*4.33,1)</x:f>
        <x:v>16.1</x:v>
      </x:c>
      <x:c r="L84" t="str">
        <x:f>XLOOKUP(A84,Contracts!$A$4:$A$15,Contracts!$G$4:$G$15,"")</x:f>
        <x:v>Normal</x:v>
      </x:c>
    </x:row>
    <x:row r="85">
      <x:c r="A85" t="str">
        <x:v>CityHall3</x:v>
      </x:c>
      <x:c r="B85" t="str">
        <x:v>SUP002</x:v>
      </x:c>
      <x:c r="C85" t="str">
        <x:v>Nitrile Gloves</x:v>
      </x:c>
      <x:c r="D85" t="str">
        <x:f>XLOOKUP(A85,Contracts!$A$4:$A$15,Contracts!$C$4:$C$15,"")</x:f>
        <x:v>Office</x:v>
      </x:c>
      <x:c r="E85" t="n">
        <x:f>XLOOKUP(A85,Contracts!$A$4:$A$15,Contracts!$J$4:$J$15,0)</x:f>
        <x:v>6</x:v>
      </x:c>
      <x:c r="F85" t="n">
        <x:f>XLOOKUP(A85,Contracts!$A$4:$A$15,Contracts!$F$4:$F$15,0)</x:f>
        <x:v>2</x:v>
      </x:c>
      <x:c r="G85" t="n">
        <x:f>XLOOKUP(A85,Contracts!$A$4:$A$15,Contracts!$D$4:$D$15,0)</x:f>
        <x:v>22000</x:v>
      </x:c>
      <x:c r="H85" t="n">
        <x:f>XLOOKUP(D85,Settings!$A$4:$A$10,Settings!$B$4:$B$10,1)</x:f>
        <x:v>1</x:v>
      </x:c>
      <x:c r="I85" t="n">
        <x:f>XLOOKUP(B85,'Supply Catalog'!$A$4:$A$13,'Supply Catalog'!$E$4:$E$13,0)</x:f>
        <x:v>0.45</x:v>
      </x:c>
      <x:c r="J85" s="32" t="n">
        <x:f>ROUNDUP(E85*((I85*H85)+(G85*XLOOKUP(B85,'Supply Catalog'!$A$4:$A$13,'Supply Catalog'!$F$4:$F$13,0))+(F85*XLOOKUP(B85,'Supply Catalog'!$A$4:$A$13,'Supply Catalog'!$G$4:$G$13,0))),1)</x:f>
        <x:v>4.6</x:v>
      </x:c>
      <x:c r="K85" s="32" t="n">
        <x:f>ROUNDUP(J85*4.33,1)</x:f>
        <x:v>20</x:v>
      </x:c>
      <x:c r="L85" t="str">
        <x:f>XLOOKUP(A85,Contracts!$A$4:$A$15,Contracts!$G$4:$G$15,"")</x:f>
        <x:v>Normal</x:v>
      </x:c>
    </x:row>
    <x:row r="86">
      <x:c r="A86" t="str">
        <x:v>CityHall3</x:v>
      </x:c>
      <x:c r="B86" t="str">
        <x:v>SUP003</x:v>
      </x:c>
      <x:c r="C86" t="str">
        <x:v>Disinfectant Concentrate</x:v>
      </x:c>
      <x:c r="D86" t="str">
        <x:f>XLOOKUP(A86,Contracts!$A$4:$A$15,Contracts!$C$4:$C$15,"")</x:f>
        <x:v>Office</x:v>
      </x:c>
      <x:c r="E86" t="n">
        <x:f>XLOOKUP(A86,Contracts!$A$4:$A$15,Contracts!$J$4:$J$15,0)</x:f>
        <x:v>6</x:v>
      </x:c>
      <x:c r="F86" t="n">
        <x:f>XLOOKUP(A86,Contracts!$A$4:$A$15,Contracts!$F$4:$F$15,0)</x:f>
        <x:v>2</x:v>
      </x:c>
      <x:c r="G86" t="n">
        <x:f>XLOOKUP(A86,Contracts!$A$4:$A$15,Contracts!$D$4:$D$15,0)</x:f>
        <x:v>22000</x:v>
      </x:c>
      <x:c r="H86" t="n">
        <x:f>XLOOKUP(D86,Settings!$A$4:$A$10,Settings!$B$4:$B$10,1)</x:f>
        <x:v>1</x:v>
      </x:c>
      <x:c r="I86" t="n">
        <x:f>XLOOKUP(B86,'Supply Catalog'!$A$4:$A$13,'Supply Catalog'!$E$4:$E$13,0)</x:f>
        <x:v>0.12</x:v>
      </x:c>
      <x:c r="J86" s="32" t="n">
        <x:f>ROUNDUP(E86*((I86*H86)+(G86*XLOOKUP(B86,'Supply Catalog'!$A$4:$A$13,'Supply Catalog'!$F$4:$F$13,0))+(F86*XLOOKUP(B86,'Supply Catalog'!$A$4:$A$13,'Supply Catalog'!$G$4:$G$13,0))),1)</x:f>
        <x:v>3.9</x:v>
      </x:c>
      <x:c r="K86" s="32" t="n">
        <x:f>ROUNDUP(J86*4.33,1)</x:f>
        <x:v>16.9</x:v>
      </x:c>
      <x:c r="L86" t="str">
        <x:f>XLOOKUP(A86,Contracts!$A$4:$A$15,Contracts!$G$4:$G$15,"")</x:f>
        <x:v>Normal</x:v>
      </x:c>
    </x:row>
    <x:row r="87">
      <x:c r="A87" t="str">
        <x:v>CityHall3</x:v>
      </x:c>
      <x:c r="B87" t="str">
        <x:v>SUP004</x:v>
      </x:c>
      <x:c r="C87" t="str">
        <x:v>Glass Cleaner</x:v>
      </x:c>
      <x:c r="D87" t="str">
        <x:f>XLOOKUP(A87,Contracts!$A$4:$A$15,Contracts!$C$4:$C$15,"")</x:f>
        <x:v>Office</x:v>
      </x:c>
      <x:c r="E87" t="n">
        <x:f>XLOOKUP(A87,Contracts!$A$4:$A$15,Contracts!$J$4:$J$15,0)</x:f>
        <x:v>6</x:v>
      </x:c>
      <x:c r="F87" t="n">
        <x:f>XLOOKUP(A87,Contracts!$A$4:$A$15,Contracts!$F$4:$F$15,0)</x:f>
        <x:v>2</x:v>
      </x:c>
      <x:c r="G87" t="n">
        <x:f>XLOOKUP(A87,Contracts!$A$4:$A$15,Contracts!$D$4:$D$15,0)</x:f>
        <x:v>22000</x:v>
      </x:c>
      <x:c r="H87" t="n">
        <x:f>XLOOKUP(D87,Settings!$A$4:$A$10,Settings!$B$4:$B$10,1)</x:f>
        <x:v>1</x:v>
      </x:c>
      <x:c r="I87" t="n">
        <x:f>XLOOKUP(B87,'Supply Catalog'!$A$4:$A$13,'Supply Catalog'!$E$4:$E$13,0)</x:f>
        <x:v>0.08</x:v>
      </x:c>
      <x:c r="J87" s="32" t="n">
        <x:f>ROUNDUP(E87*((I87*H87)+(G87*XLOOKUP(B87,'Supply Catalog'!$A$4:$A$13,'Supply Catalog'!$F$4:$F$13,0))+(F87*XLOOKUP(B87,'Supply Catalog'!$A$4:$A$13,'Supply Catalog'!$G$4:$G$13,0))),1)</x:f>
        <x:v>2.2</x:v>
      </x:c>
      <x:c r="K87" s="32" t="n">
        <x:f>ROUNDUP(J87*4.33,1)</x:f>
        <x:v>9.6</x:v>
      </x:c>
      <x:c r="L87" t="str">
        <x:f>XLOOKUP(A87,Contracts!$A$4:$A$15,Contracts!$G$4:$G$15,"")</x:f>
        <x:v>Normal</x:v>
      </x:c>
    </x:row>
    <x:row r="88">
      <x:c r="A88" t="str">
        <x:v>CityHall3</x:v>
      </x:c>
      <x:c r="B88" t="str">
        <x:v>SUP005</x:v>
      </x:c>
      <x:c r="C88" t="str">
        <x:v>Paper Towels</x:v>
      </x:c>
      <x:c r="D88" t="str">
        <x:f>XLOOKUP(A88,Contracts!$A$4:$A$15,Contracts!$C$4:$C$15,"")</x:f>
        <x:v>Office</x:v>
      </x:c>
      <x:c r="E88" t="n">
        <x:f>XLOOKUP(A88,Contracts!$A$4:$A$15,Contracts!$J$4:$J$15,0)</x:f>
        <x:v>6</x:v>
      </x:c>
      <x:c r="F88" t="n">
        <x:f>XLOOKUP(A88,Contracts!$A$4:$A$15,Contracts!$F$4:$F$15,0)</x:f>
        <x:v>2</x:v>
      </x:c>
      <x:c r="G88" t="n">
        <x:f>XLOOKUP(A88,Contracts!$A$4:$A$15,Contracts!$D$4:$D$15,0)</x:f>
        <x:v>22000</x:v>
      </x:c>
      <x:c r="H88" t="n">
        <x:f>XLOOKUP(D88,Settings!$A$4:$A$10,Settings!$B$4:$B$10,1)</x:f>
        <x:v>1</x:v>
      </x:c>
      <x:c r="I88" t="n">
        <x:f>XLOOKUP(B88,'Supply Catalog'!$A$4:$A$13,'Supply Catalog'!$E$4:$E$13,0)</x:f>
        <x:v>0.2</x:v>
      </x:c>
      <x:c r="J88" s="32" t="n">
        <x:f>ROUNDUP(E88*((I88*H88)+(G88*XLOOKUP(B88,'Supply Catalog'!$A$4:$A$13,'Supply Catalog'!$F$4:$F$13,0))+(F88*XLOOKUP(B88,'Supply Catalog'!$A$4:$A$13,'Supply Catalog'!$G$4:$G$13,0))),1)</x:f>
        <x:v>4.4</x:v>
      </x:c>
      <x:c r="K88" s="32" t="n">
        <x:f>ROUNDUP(J88*4.33,1)</x:f>
        <x:v>19.1</x:v>
      </x:c>
      <x:c r="L88" t="str">
        <x:f>XLOOKUP(A88,Contracts!$A$4:$A$15,Contracts!$G$4:$G$15,"")</x:f>
        <x:v>Normal</x:v>
      </x:c>
    </x:row>
    <x:row r="89">
      <x:c r="A89" t="str">
        <x:v>CityHall3</x:v>
      </x:c>
      <x:c r="B89" t="str">
        <x:v>SUP006</x:v>
      </x:c>
      <x:c r="C89" t="str">
        <x:v>Toilet Tissue</x:v>
      </x:c>
      <x:c r="D89" t="str">
        <x:f>XLOOKUP(A89,Contracts!$A$4:$A$15,Contracts!$C$4:$C$15,"")</x:f>
        <x:v>Office</x:v>
      </x:c>
      <x:c r="E89" t="n">
        <x:f>XLOOKUP(A89,Contracts!$A$4:$A$15,Contracts!$J$4:$J$15,0)</x:f>
        <x:v>6</x:v>
      </x:c>
      <x:c r="F89" t="n">
        <x:f>XLOOKUP(A89,Contracts!$A$4:$A$15,Contracts!$F$4:$F$15,0)</x:f>
        <x:v>2</x:v>
      </x:c>
      <x:c r="G89" t="n">
        <x:f>XLOOKUP(A89,Contracts!$A$4:$A$15,Contracts!$D$4:$D$15,0)</x:f>
        <x:v>22000</x:v>
      </x:c>
      <x:c r="H89" t="n">
        <x:f>XLOOKUP(D89,Settings!$A$4:$A$10,Settings!$B$4:$B$10,1)</x:f>
        <x:v>1</x:v>
      </x:c>
      <x:c r="I89" t="n">
        <x:f>XLOOKUP(B89,'Supply Catalog'!$A$4:$A$13,'Supply Catalog'!$E$4:$E$13,0)</x:f>
        <x:v>0.16</x:v>
      </x:c>
      <x:c r="J89" s="32" t="n">
        <x:f>ROUNDUP(E89*((I89*H89)+(G89*XLOOKUP(B89,'Supply Catalog'!$A$4:$A$13,'Supply Catalog'!$F$4:$F$13,0))+(F89*XLOOKUP(B89,'Supply Catalog'!$A$4:$A$13,'Supply Catalog'!$G$4:$G$13,0))),1)</x:f>
        <x:v>3.9</x:v>
      </x:c>
      <x:c r="K89" s="32" t="n">
        <x:f>ROUNDUP(J89*4.33,1)</x:f>
        <x:v>16.9</x:v>
      </x:c>
      <x:c r="L89" t="str">
        <x:f>XLOOKUP(A89,Contracts!$A$4:$A$15,Contracts!$G$4:$G$15,"")</x:f>
        <x:v>Normal</x:v>
      </x:c>
    </x:row>
    <x:row r="90">
      <x:c r="A90" t="str">
        <x:v>CityHall3</x:v>
      </x:c>
      <x:c r="B90" t="str">
        <x:v>SUP007</x:v>
      </x:c>
      <x:c r="C90" t="str">
        <x:v>Microfiber Towels</x:v>
      </x:c>
      <x:c r="D90" t="str">
        <x:f>XLOOKUP(A90,Contracts!$A$4:$A$15,Contracts!$C$4:$C$15,"")</x:f>
        <x:v>Office</x:v>
      </x:c>
      <x:c r="E90" t="n">
        <x:f>XLOOKUP(A90,Contracts!$A$4:$A$15,Contracts!$J$4:$J$15,0)</x:f>
        <x:v>6</x:v>
      </x:c>
      <x:c r="F90" t="n">
        <x:f>XLOOKUP(A90,Contracts!$A$4:$A$15,Contracts!$F$4:$F$15,0)</x:f>
        <x:v>2</x:v>
      </x:c>
      <x:c r="G90" t="n">
        <x:f>XLOOKUP(A90,Contracts!$A$4:$A$15,Contracts!$D$4:$D$15,0)</x:f>
        <x:v>22000</x:v>
      </x:c>
      <x:c r="H90" t="n">
        <x:f>XLOOKUP(D90,Settings!$A$4:$A$10,Settings!$B$4:$B$10,1)</x:f>
        <x:v>1</x:v>
      </x:c>
      <x:c r="I90" t="n">
        <x:f>XLOOKUP(B90,'Supply Catalog'!$A$4:$A$13,'Supply Catalog'!$E$4:$E$13,0)</x:f>
        <x:v>0.06</x:v>
      </x:c>
      <x:c r="J90" s="32" t="n">
        <x:f>ROUNDUP(E90*((I90*H90)+(G90*XLOOKUP(B90,'Supply Catalog'!$A$4:$A$13,'Supply Catalog'!$F$4:$F$13,0))+(F90*XLOOKUP(B90,'Supply Catalog'!$A$4:$A$13,'Supply Catalog'!$G$4:$G$13,0))),1)</x:f>
        <x:v>1.8</x:v>
      </x:c>
      <x:c r="K90" s="32" t="n">
        <x:f>ROUNDUP(J90*4.33,1)</x:f>
        <x:v>7.8</x:v>
      </x:c>
      <x:c r="L90" t="str">
        <x:f>XLOOKUP(A90,Contracts!$A$4:$A$15,Contracts!$G$4:$G$15,"")</x:f>
        <x:v>Normal</x:v>
      </x:c>
    </x:row>
    <x:row r="91">
      <x:c r="A91" t="str">
        <x:v>CityHall3</x:v>
      </x:c>
      <x:c r="B91" t="str">
        <x:v>SUP008</x:v>
      </x:c>
      <x:c r="C91" t="str">
        <x:v>Mop Heads</x:v>
      </x:c>
      <x:c r="D91" t="str">
        <x:f>XLOOKUP(A91,Contracts!$A$4:$A$15,Contracts!$C$4:$C$15,"")</x:f>
        <x:v>Office</x:v>
      </x:c>
      <x:c r="E91" t="n">
        <x:f>XLOOKUP(A91,Contracts!$A$4:$A$15,Contracts!$J$4:$J$15,0)</x:f>
        <x:v>6</x:v>
      </x:c>
      <x:c r="F91" t="n">
        <x:f>XLOOKUP(A91,Contracts!$A$4:$A$15,Contracts!$F$4:$F$15,0)</x:f>
        <x:v>2</x:v>
      </x:c>
      <x:c r="G91" t="n">
        <x:f>XLOOKUP(A91,Contracts!$A$4:$A$15,Contracts!$D$4:$D$15,0)</x:f>
        <x:v>22000</x:v>
      </x:c>
      <x:c r="H91" t="n">
        <x:f>XLOOKUP(D91,Settings!$A$4:$A$10,Settings!$B$4:$B$10,1)</x:f>
        <x:v>1</x:v>
      </x:c>
      <x:c r="I91" t="n">
        <x:f>XLOOKUP(B91,'Supply Catalog'!$A$4:$A$13,'Supply Catalog'!$E$4:$E$13,0)</x:f>
        <x:v>0.04</x:v>
      </x:c>
      <x:c r="J91" s="32" t="n">
        <x:f>ROUNDUP(E91*((I91*H91)+(G91*XLOOKUP(B91,'Supply Catalog'!$A$4:$A$13,'Supply Catalog'!$F$4:$F$13,0))+(F91*XLOOKUP(B91,'Supply Catalog'!$A$4:$A$13,'Supply Catalog'!$G$4:$G$13,0))),1)</x:f>
        <x:v>1.1</x:v>
      </x:c>
      <x:c r="K91" s="32" t="n">
        <x:f>ROUNDUP(J91*4.33,1)</x:f>
        <x:v>4.8</x:v>
      </x:c>
      <x:c r="L91" t="str">
        <x:f>XLOOKUP(A91,Contracts!$A$4:$A$15,Contracts!$G$4:$G$15,"")</x:f>
        <x:v>Normal</x:v>
      </x:c>
    </x:row>
    <x:row r="92">
      <x:c r="A92" t="str">
        <x:v>CityHall3</x:v>
      </x:c>
      <x:c r="B92" t="str">
        <x:v>SUP009</x:v>
      </x:c>
      <x:c r="C92" t="str">
        <x:v>Floor Cleaner</x:v>
      </x:c>
      <x:c r="D92" t="str">
        <x:f>XLOOKUP(A92,Contracts!$A$4:$A$15,Contracts!$C$4:$C$15,"")</x:f>
        <x:v>Office</x:v>
      </x:c>
      <x:c r="E92" t="n">
        <x:f>XLOOKUP(A92,Contracts!$A$4:$A$15,Contracts!$J$4:$J$15,0)</x:f>
        <x:v>6</x:v>
      </x:c>
      <x:c r="F92" t="n">
        <x:f>XLOOKUP(A92,Contracts!$A$4:$A$15,Contracts!$F$4:$F$15,0)</x:f>
        <x:v>2</x:v>
      </x:c>
      <x:c r="G92" t="n">
        <x:f>XLOOKUP(A92,Contracts!$A$4:$A$15,Contracts!$D$4:$D$15,0)</x:f>
        <x:v>22000</x:v>
      </x:c>
      <x:c r="H92" t="n">
        <x:f>XLOOKUP(D92,Settings!$A$4:$A$10,Settings!$B$4:$B$10,1)</x:f>
        <x:v>1</x:v>
      </x:c>
      <x:c r="I92" t="n">
        <x:f>XLOOKUP(B92,'Supply Catalog'!$A$4:$A$13,'Supply Catalog'!$E$4:$E$13,0)</x:f>
        <x:v>0.1</x:v>
      </x:c>
      <x:c r="J92" s="32" t="n">
        <x:f>ROUNDUP(E92*((I92*H92)+(G92*XLOOKUP(B92,'Supply Catalog'!$A$4:$A$13,'Supply Catalog'!$F$4:$F$13,0))+(F92*XLOOKUP(B92,'Supply Catalog'!$A$4:$A$13,'Supply Catalog'!$G$4:$G$13,0))),1)</x:f>
        <x:v>3.5</x:v>
      </x:c>
      <x:c r="K92" s="32" t="n">
        <x:f>ROUNDUP(J92*4.33,1)</x:f>
        <x:v>15.2</x:v>
      </x:c>
      <x:c r="L92" t="str">
        <x:f>XLOOKUP(A92,Contracts!$A$4:$A$15,Contracts!$G$4:$G$15,"")</x:f>
        <x:v>Normal</x:v>
      </x:c>
    </x:row>
    <x:row r="93">
      <x:c r="A93" t="str">
        <x:v>CityHall3</x:v>
      </x:c>
      <x:c r="B93" t="str">
        <x:v>SUP010</x:v>
      </x:c>
      <x:c r="C93" t="str">
        <x:v>Hand Soap Refill</x:v>
      </x:c>
      <x:c r="D93" t="str">
        <x:f>XLOOKUP(A93,Contracts!$A$4:$A$15,Contracts!$C$4:$C$15,"")</x:f>
        <x:v>Office</x:v>
      </x:c>
      <x:c r="E93" t="n">
        <x:f>XLOOKUP(A93,Contracts!$A$4:$A$15,Contracts!$J$4:$J$15,0)</x:f>
        <x:v>6</x:v>
      </x:c>
      <x:c r="F93" t="n">
        <x:f>XLOOKUP(A93,Contracts!$A$4:$A$15,Contracts!$F$4:$F$15,0)</x:f>
        <x:v>2</x:v>
      </x:c>
      <x:c r="G93" t="n">
        <x:f>XLOOKUP(A93,Contracts!$A$4:$A$15,Contracts!$D$4:$D$15,0)</x:f>
        <x:v>22000</x:v>
      </x:c>
      <x:c r="H93" t="n">
        <x:f>XLOOKUP(D93,Settings!$A$4:$A$10,Settings!$B$4:$B$10,1)</x:f>
        <x:v>1</x:v>
      </x:c>
      <x:c r="I93" t="n">
        <x:f>XLOOKUP(B93,'Supply Catalog'!$A$4:$A$13,'Supply Catalog'!$E$4:$E$13,0)</x:f>
        <x:v>0.1</x:v>
      </x:c>
      <x:c r="J93" s="32" t="n">
        <x:f>ROUNDUP(E93*((I93*H93)+(G93*XLOOKUP(B93,'Supply Catalog'!$A$4:$A$13,'Supply Catalog'!$F$4:$F$13,0))+(F93*XLOOKUP(B93,'Supply Catalog'!$A$4:$A$13,'Supply Catalog'!$G$4:$G$13,0))),1)</x:f>
        <x:v>2.6</x:v>
      </x:c>
      <x:c r="K93" s="32" t="n">
        <x:f>ROUNDUP(J93*4.33,1)</x:f>
        <x:v>11.3</x:v>
      </x:c>
      <x:c r="L93" t="str">
        <x:f>XLOOKUP(A93,Contracts!$A$4:$A$15,Contracts!$G$4:$G$15,"")</x:f>
        <x:v>Normal</x:v>
      </x:c>
    </x:row>
    <x:row r="94">
      <x:c r="A94" t="str">
        <x:v>HighSchool3</x:v>
      </x:c>
      <x:c r="B94" t="str">
        <x:v>SUP001</x:v>
      </x:c>
      <x:c r="C94" t="str">
        <x:v>Trash Liners 55 Gal</x:v>
      </x:c>
      <x:c r="D94" t="str">
        <x:f>XLOOKUP(A94,Contracts!$A$4:$A$15,Contracts!$C$4:$C$15,"")</x:f>
        <x:v>Education</x:v>
      </x:c>
      <x:c r="E94" t="n">
        <x:f>XLOOKUP(A94,Contracts!$A$4:$A$15,Contracts!$J$4:$J$15,0)</x:f>
        <x:v>6</x:v>
      </x:c>
      <x:c r="F94" t="n">
        <x:f>XLOOKUP(A94,Contracts!$A$4:$A$15,Contracts!$F$4:$F$15,0)</x:f>
        <x:v>4</x:v>
      </x:c>
      <x:c r="G94" t="n">
        <x:f>XLOOKUP(A94,Contracts!$A$4:$A$15,Contracts!$D$4:$D$15,0)</x:f>
        <x:v>68000</x:v>
      </x:c>
      <x:c r="H94" t="n">
        <x:f>XLOOKUP(D94,Settings!$A$4:$A$10,Settings!$B$4:$B$10,1)</x:f>
        <x:v>2</x:v>
      </x:c>
      <x:c r="I94" t="n">
        <x:f>XLOOKUP(B94,'Supply Catalog'!$A$4:$A$13,'Supply Catalog'!$E$4:$E$13,0)</x:f>
        <x:v>0.18</x:v>
      </x:c>
      <x:c r="J94" s="32" t="n">
        <x:f>ROUNDUP(E94*((I94*H94)+(G94*XLOOKUP(B94,'Supply Catalog'!$A$4:$A$13,'Supply Catalog'!$F$4:$F$13,0))+(F94*XLOOKUP(B94,'Supply Catalog'!$A$4:$A$13,'Supply Catalog'!$G$4:$G$13,0))),1)</x:f>
        <x:v>9.5</x:v>
      </x:c>
      <x:c r="K94" s="32" t="n">
        <x:f>ROUNDUP(J94*4.33,1)</x:f>
        <x:v>41.2</x:v>
      </x:c>
      <x:c r="L94" t="str">
        <x:f>XLOOKUP(A94,Contracts!$A$4:$A$15,Contracts!$G$4:$G$15,"")</x:f>
        <x:v>Critical</x:v>
      </x:c>
    </x:row>
    <x:row r="95">
      <x:c r="A95" t="str">
        <x:v>HighSchool3</x:v>
      </x:c>
      <x:c r="B95" t="str">
        <x:v>SUP002</x:v>
      </x:c>
      <x:c r="C95" t="str">
        <x:v>Nitrile Gloves</x:v>
      </x:c>
      <x:c r="D95" t="str">
        <x:f>XLOOKUP(A95,Contracts!$A$4:$A$15,Contracts!$C$4:$C$15,"")</x:f>
        <x:v>Education</x:v>
      </x:c>
      <x:c r="E95" t="n">
        <x:f>XLOOKUP(A95,Contracts!$A$4:$A$15,Contracts!$J$4:$J$15,0)</x:f>
        <x:v>6</x:v>
      </x:c>
      <x:c r="F95" t="n">
        <x:f>XLOOKUP(A95,Contracts!$A$4:$A$15,Contracts!$F$4:$F$15,0)</x:f>
        <x:v>4</x:v>
      </x:c>
      <x:c r="G95" t="n">
        <x:f>XLOOKUP(A95,Contracts!$A$4:$A$15,Contracts!$D$4:$D$15,0)</x:f>
        <x:v>68000</x:v>
      </x:c>
      <x:c r="H95" t="n">
        <x:f>XLOOKUP(D95,Settings!$A$4:$A$10,Settings!$B$4:$B$10,1)</x:f>
        <x:v>2</x:v>
      </x:c>
      <x:c r="I95" t="n">
        <x:f>XLOOKUP(B95,'Supply Catalog'!$A$4:$A$13,'Supply Catalog'!$E$4:$E$13,0)</x:f>
        <x:v>0.45</x:v>
      </x:c>
      <x:c r="J95" s="32" t="n">
        <x:f>ROUNDUP(E95*((I95*H95)+(G95*XLOOKUP(B95,'Supply Catalog'!$A$4:$A$13,'Supply Catalog'!$F$4:$F$13,0))+(F95*XLOOKUP(B95,'Supply Catalog'!$A$4:$A$13,'Supply Catalog'!$G$4:$G$13,0))),1)</x:f>
        <x:v>9.9</x:v>
      </x:c>
      <x:c r="K95" s="32" t="n">
        <x:f>ROUNDUP(J95*4.33,1)</x:f>
        <x:v>42.9</x:v>
      </x:c>
      <x:c r="L95" t="str">
        <x:f>XLOOKUP(A95,Contracts!$A$4:$A$15,Contracts!$G$4:$G$15,"")</x:f>
        <x:v>Critical</x:v>
      </x:c>
    </x:row>
    <x:row r="96">
      <x:c r="A96" t="str">
        <x:v>HighSchool3</x:v>
      </x:c>
      <x:c r="B96" t="str">
        <x:v>SUP003</x:v>
      </x:c>
      <x:c r="C96" t="str">
        <x:v>Disinfectant Concentrate</x:v>
      </x:c>
      <x:c r="D96" t="str">
        <x:f>XLOOKUP(A96,Contracts!$A$4:$A$15,Contracts!$C$4:$C$15,"")</x:f>
        <x:v>Education</x:v>
      </x:c>
      <x:c r="E96" t="n">
        <x:f>XLOOKUP(A96,Contracts!$A$4:$A$15,Contracts!$J$4:$J$15,0)</x:f>
        <x:v>6</x:v>
      </x:c>
      <x:c r="F96" t="n">
        <x:f>XLOOKUP(A96,Contracts!$A$4:$A$15,Contracts!$F$4:$F$15,0)</x:f>
        <x:v>4</x:v>
      </x:c>
      <x:c r="G96" t="n">
        <x:f>XLOOKUP(A96,Contracts!$A$4:$A$15,Contracts!$D$4:$D$15,0)</x:f>
        <x:v>68000</x:v>
      </x:c>
      <x:c r="H96" t="n">
        <x:f>XLOOKUP(D96,Settings!$A$4:$A$10,Settings!$B$4:$B$10,1)</x:f>
        <x:v>2</x:v>
      </x:c>
      <x:c r="I96" t="n">
        <x:f>XLOOKUP(B96,'Supply Catalog'!$A$4:$A$13,'Supply Catalog'!$E$4:$E$13,0)</x:f>
        <x:v>0.12</x:v>
      </x:c>
      <x:c r="J96" s="32" t="n">
        <x:f>ROUNDUP(E96*((I96*H96)+(G96*XLOOKUP(B96,'Supply Catalog'!$A$4:$A$13,'Supply Catalog'!$F$4:$F$13,0))+(F96*XLOOKUP(B96,'Supply Catalog'!$A$4:$A$13,'Supply Catalog'!$G$4:$G$13,0))),1)</x:f>
        <x:v>10.6</x:v>
      </x:c>
      <x:c r="K96" s="32" t="n">
        <x:f>ROUNDUP(J96*4.33,1)</x:f>
        <x:v>45.9</x:v>
      </x:c>
      <x:c r="L96" t="str">
        <x:f>XLOOKUP(A96,Contracts!$A$4:$A$15,Contracts!$G$4:$G$15,"")</x:f>
        <x:v>Critical</x:v>
      </x:c>
    </x:row>
    <x:row r="97">
      <x:c r="A97" t="str">
        <x:v>HighSchool3</x:v>
      </x:c>
      <x:c r="B97" t="str">
        <x:v>SUP004</x:v>
      </x:c>
      <x:c r="C97" t="str">
        <x:v>Glass Cleaner</x:v>
      </x:c>
      <x:c r="D97" t="str">
        <x:f>XLOOKUP(A97,Contracts!$A$4:$A$15,Contracts!$C$4:$C$15,"")</x:f>
        <x:v>Education</x:v>
      </x:c>
      <x:c r="E97" t="n">
        <x:f>XLOOKUP(A97,Contracts!$A$4:$A$15,Contracts!$J$4:$J$15,0)</x:f>
        <x:v>6</x:v>
      </x:c>
      <x:c r="F97" t="n">
        <x:f>XLOOKUP(A97,Contracts!$A$4:$A$15,Contracts!$F$4:$F$15,0)</x:f>
        <x:v>4</x:v>
      </x:c>
      <x:c r="G97" t="n">
        <x:f>XLOOKUP(A97,Contracts!$A$4:$A$15,Contracts!$D$4:$D$15,0)</x:f>
        <x:v>68000</x:v>
      </x:c>
      <x:c r="H97" t="n">
        <x:f>XLOOKUP(D97,Settings!$A$4:$A$10,Settings!$B$4:$B$10,1)</x:f>
        <x:v>2</x:v>
      </x:c>
      <x:c r="I97" t="n">
        <x:f>XLOOKUP(B97,'Supply Catalog'!$A$4:$A$13,'Supply Catalog'!$E$4:$E$13,0)</x:f>
        <x:v>0.08</x:v>
      </x:c>
      <x:c r="J97" s="32" t="n">
        <x:f>ROUNDUP(E97*((I97*H97)+(G97*XLOOKUP(B97,'Supply Catalog'!$A$4:$A$13,'Supply Catalog'!$F$4:$F$13,0))+(F97*XLOOKUP(B97,'Supply Catalog'!$A$4:$A$13,'Supply Catalog'!$G$4:$G$13,0))),1)</x:f>
        <x:v>5.8</x:v>
      </x:c>
      <x:c r="K97" s="32" t="n">
        <x:f>ROUNDUP(J97*4.33,1)</x:f>
        <x:v>25.2</x:v>
      </x:c>
      <x:c r="L97" t="str">
        <x:f>XLOOKUP(A97,Contracts!$A$4:$A$15,Contracts!$G$4:$G$15,"")</x:f>
        <x:v>Critical</x:v>
      </x:c>
    </x:row>
    <x:row r="98">
      <x:c r="A98" t="str">
        <x:v>HighSchool3</x:v>
      </x:c>
      <x:c r="B98" t="str">
        <x:v>SUP005</x:v>
      </x:c>
      <x:c r="C98" t="str">
        <x:v>Paper Towels</x:v>
      </x:c>
      <x:c r="D98" t="str">
        <x:f>XLOOKUP(A98,Contracts!$A$4:$A$15,Contracts!$C$4:$C$15,"")</x:f>
        <x:v>Education</x:v>
      </x:c>
      <x:c r="E98" t="n">
        <x:f>XLOOKUP(A98,Contracts!$A$4:$A$15,Contracts!$J$4:$J$15,0)</x:f>
        <x:v>6</x:v>
      </x:c>
      <x:c r="F98" t="n">
        <x:f>XLOOKUP(A98,Contracts!$A$4:$A$15,Contracts!$F$4:$F$15,0)</x:f>
        <x:v>4</x:v>
      </x:c>
      <x:c r="G98" t="n">
        <x:f>XLOOKUP(A98,Contracts!$A$4:$A$15,Contracts!$D$4:$D$15,0)</x:f>
        <x:v>68000</x:v>
      </x:c>
      <x:c r="H98" t="n">
        <x:f>XLOOKUP(D98,Settings!$A$4:$A$10,Settings!$B$4:$B$10,1)</x:f>
        <x:v>2</x:v>
      </x:c>
      <x:c r="I98" t="n">
        <x:f>XLOOKUP(B98,'Supply Catalog'!$A$4:$A$13,'Supply Catalog'!$E$4:$E$13,0)</x:f>
        <x:v>0.2</x:v>
      </x:c>
      <x:c r="J98" s="32" t="n">
        <x:f>ROUNDUP(E98*((I98*H98)+(G98*XLOOKUP(B98,'Supply Catalog'!$A$4:$A$13,'Supply Catalog'!$F$4:$F$13,0))+(F98*XLOOKUP(B98,'Supply Catalog'!$A$4:$A$13,'Supply Catalog'!$G$4:$G$13,0))),1)</x:f>
        <x:v>11.6</x:v>
      </x:c>
      <x:c r="K98" s="32" t="n">
        <x:f>ROUNDUP(J98*4.33,1)</x:f>
        <x:v>50.3</x:v>
      </x:c>
      <x:c r="L98" t="str">
        <x:f>XLOOKUP(A98,Contracts!$A$4:$A$15,Contracts!$G$4:$G$15,"")</x:f>
        <x:v>Critical</x:v>
      </x:c>
    </x:row>
    <x:row r="99">
      <x:c r="A99" t="str">
        <x:v>HighSchool3</x:v>
      </x:c>
      <x:c r="B99" t="str">
        <x:v>SUP006</x:v>
      </x:c>
      <x:c r="C99" t="str">
        <x:v>Toilet Tissue</x:v>
      </x:c>
      <x:c r="D99" t="str">
        <x:f>XLOOKUP(A99,Contracts!$A$4:$A$15,Contracts!$C$4:$C$15,"")</x:f>
        <x:v>Education</x:v>
      </x:c>
      <x:c r="E99" t="n">
        <x:f>XLOOKUP(A99,Contracts!$A$4:$A$15,Contracts!$J$4:$J$15,0)</x:f>
        <x:v>6</x:v>
      </x:c>
      <x:c r="F99" t="n">
        <x:f>XLOOKUP(A99,Contracts!$A$4:$A$15,Contracts!$F$4:$F$15,0)</x:f>
        <x:v>4</x:v>
      </x:c>
      <x:c r="G99" t="n">
        <x:f>XLOOKUP(A99,Contracts!$A$4:$A$15,Contracts!$D$4:$D$15,0)</x:f>
        <x:v>68000</x:v>
      </x:c>
      <x:c r="H99" t="n">
        <x:f>XLOOKUP(D99,Settings!$A$4:$A$10,Settings!$B$4:$B$10,1)</x:f>
        <x:v>2</x:v>
      </x:c>
      <x:c r="I99" t="n">
        <x:f>XLOOKUP(B99,'Supply Catalog'!$A$4:$A$13,'Supply Catalog'!$E$4:$E$13,0)</x:f>
        <x:v>0.16</x:v>
      </x:c>
      <x:c r="J99" s="32" t="n">
        <x:f>ROUNDUP(E99*((I99*H99)+(G99*XLOOKUP(B99,'Supply Catalog'!$A$4:$A$13,'Supply Catalog'!$F$4:$F$13,0))+(F99*XLOOKUP(B99,'Supply Catalog'!$A$4:$A$13,'Supply Catalog'!$G$4:$G$13,0))),1)</x:f>
        <x:v>10.3</x:v>
      </x:c>
      <x:c r="K99" s="32" t="n">
        <x:f>ROUNDUP(J99*4.33,1)</x:f>
        <x:v>44.6</x:v>
      </x:c>
      <x:c r="L99" t="str">
        <x:f>XLOOKUP(A99,Contracts!$A$4:$A$15,Contracts!$G$4:$G$15,"")</x:f>
        <x:v>Critical</x:v>
      </x:c>
    </x:row>
    <x:row r="100">
      <x:c r="A100" t="str">
        <x:v>HighSchool3</x:v>
      </x:c>
      <x:c r="B100" t="str">
        <x:v>SUP007</x:v>
      </x:c>
      <x:c r="C100" t="str">
        <x:v>Microfiber Towels</x:v>
      </x:c>
      <x:c r="D100" t="str">
        <x:f>XLOOKUP(A100,Contracts!$A$4:$A$15,Contracts!$C$4:$C$15,"")</x:f>
        <x:v>Education</x:v>
      </x:c>
      <x:c r="E100" t="n">
        <x:f>XLOOKUP(A100,Contracts!$A$4:$A$15,Contracts!$J$4:$J$15,0)</x:f>
        <x:v>6</x:v>
      </x:c>
      <x:c r="F100" t="n">
        <x:f>XLOOKUP(A100,Contracts!$A$4:$A$15,Contracts!$F$4:$F$15,0)</x:f>
        <x:v>4</x:v>
      </x:c>
      <x:c r="G100" t="n">
        <x:f>XLOOKUP(A100,Contracts!$A$4:$A$15,Contracts!$D$4:$D$15,0)</x:f>
        <x:v>68000</x:v>
      </x:c>
      <x:c r="H100" t="n">
        <x:f>XLOOKUP(D100,Settings!$A$4:$A$10,Settings!$B$4:$B$10,1)</x:f>
        <x:v>2</x:v>
      </x:c>
      <x:c r="I100" t="n">
        <x:f>XLOOKUP(B100,'Supply Catalog'!$A$4:$A$13,'Supply Catalog'!$E$4:$E$13,0)</x:f>
        <x:v>0.06</x:v>
      </x:c>
      <x:c r="J100" s="32" t="n">
        <x:f>ROUNDUP(E100*((I100*H100)+(G100*XLOOKUP(B100,'Supply Catalog'!$A$4:$A$13,'Supply Catalog'!$F$4:$F$13,0))+(F100*XLOOKUP(B100,'Supply Catalog'!$A$4:$A$13,'Supply Catalog'!$G$4:$G$13,0))),1)</x:f>
        <x:v>4.4</x:v>
      </x:c>
      <x:c r="K100" s="32" t="n">
        <x:f>ROUNDUP(J100*4.33,1)</x:f>
        <x:v>19.1</x:v>
      </x:c>
      <x:c r="L100" t="str">
        <x:f>XLOOKUP(A100,Contracts!$A$4:$A$15,Contracts!$G$4:$G$15,"")</x:f>
        <x:v>Critical</x:v>
      </x:c>
    </x:row>
    <x:row r="101">
      <x:c r="A101" t="str">
        <x:v>HighSchool3</x:v>
      </x:c>
      <x:c r="B101" t="str">
        <x:v>SUP008</x:v>
      </x:c>
      <x:c r="C101" t="str">
        <x:v>Mop Heads</x:v>
      </x:c>
      <x:c r="D101" t="str">
        <x:f>XLOOKUP(A101,Contracts!$A$4:$A$15,Contracts!$C$4:$C$15,"")</x:f>
        <x:v>Education</x:v>
      </x:c>
      <x:c r="E101" t="n">
        <x:f>XLOOKUP(A101,Contracts!$A$4:$A$15,Contracts!$J$4:$J$15,0)</x:f>
        <x:v>6</x:v>
      </x:c>
      <x:c r="F101" t="n">
        <x:f>XLOOKUP(A101,Contracts!$A$4:$A$15,Contracts!$F$4:$F$15,0)</x:f>
        <x:v>4</x:v>
      </x:c>
      <x:c r="G101" t="n">
        <x:f>XLOOKUP(A101,Contracts!$A$4:$A$15,Contracts!$D$4:$D$15,0)</x:f>
        <x:v>68000</x:v>
      </x:c>
      <x:c r="H101" t="n">
        <x:f>XLOOKUP(D101,Settings!$A$4:$A$10,Settings!$B$4:$B$10,1)</x:f>
        <x:v>2</x:v>
      </x:c>
      <x:c r="I101" t="n">
        <x:f>XLOOKUP(B101,'Supply Catalog'!$A$4:$A$13,'Supply Catalog'!$E$4:$E$13,0)</x:f>
        <x:v>0.04</x:v>
      </x:c>
      <x:c r="J101" s="32" t="n">
        <x:f>ROUNDUP(E101*((I101*H101)+(G101*XLOOKUP(B101,'Supply Catalog'!$A$4:$A$13,'Supply Catalog'!$F$4:$F$13,0))+(F101*XLOOKUP(B101,'Supply Catalog'!$A$4:$A$13,'Supply Catalog'!$G$4:$G$13,0))),1)</x:f>
        <x:v>2.6</x:v>
      </x:c>
      <x:c r="K101" s="32" t="n">
        <x:f>ROUNDUP(J101*4.33,1)</x:f>
        <x:v>11.3</x:v>
      </x:c>
      <x:c r="L101" t="str">
        <x:f>XLOOKUP(A101,Contracts!$A$4:$A$15,Contracts!$G$4:$G$15,"")</x:f>
        <x:v>Critical</x:v>
      </x:c>
    </x:row>
    <x:row r="102">
      <x:c r="A102" t="str">
        <x:v>HighSchool3</x:v>
      </x:c>
      <x:c r="B102" t="str">
        <x:v>SUP009</x:v>
      </x:c>
      <x:c r="C102" t="str">
        <x:v>Floor Cleaner</x:v>
      </x:c>
      <x:c r="D102" t="str">
        <x:f>XLOOKUP(A102,Contracts!$A$4:$A$15,Contracts!$C$4:$C$15,"")</x:f>
        <x:v>Education</x:v>
      </x:c>
      <x:c r="E102" t="n">
        <x:f>XLOOKUP(A102,Contracts!$A$4:$A$15,Contracts!$J$4:$J$15,0)</x:f>
        <x:v>6</x:v>
      </x:c>
      <x:c r="F102" t="n">
        <x:f>XLOOKUP(A102,Contracts!$A$4:$A$15,Contracts!$F$4:$F$15,0)</x:f>
        <x:v>4</x:v>
      </x:c>
      <x:c r="G102" t="n">
        <x:f>XLOOKUP(A102,Contracts!$A$4:$A$15,Contracts!$D$4:$D$15,0)</x:f>
        <x:v>68000</x:v>
      </x:c>
      <x:c r="H102" t="n">
        <x:f>XLOOKUP(D102,Settings!$A$4:$A$10,Settings!$B$4:$B$10,1)</x:f>
        <x:v>2</x:v>
      </x:c>
      <x:c r="I102" t="n">
        <x:f>XLOOKUP(B102,'Supply Catalog'!$A$4:$A$13,'Supply Catalog'!$E$4:$E$13,0)</x:f>
        <x:v>0.1</x:v>
      </x:c>
      <x:c r="J102" s="32" t="n">
        <x:f>ROUNDUP(E102*((I102*H102)+(G102*XLOOKUP(B102,'Supply Catalog'!$A$4:$A$13,'Supply Catalog'!$F$4:$F$13,0))+(F102*XLOOKUP(B102,'Supply Catalog'!$A$4:$A$13,'Supply Catalog'!$G$4:$G$13,0))),1)</x:f>
        <x:v>9.6</x:v>
      </x:c>
      <x:c r="K102" s="32" t="n">
        <x:f>ROUNDUP(J102*4.33,1)</x:f>
        <x:v>41.6</x:v>
      </x:c>
      <x:c r="L102" t="str">
        <x:f>XLOOKUP(A102,Contracts!$A$4:$A$15,Contracts!$G$4:$G$15,"")</x:f>
        <x:v>Critical</x:v>
      </x:c>
    </x:row>
    <x:row r="103">
      <x:c r="A103" t="str">
        <x:v>HighSchool3</x:v>
      </x:c>
      <x:c r="B103" t="str">
        <x:v>SUP010</x:v>
      </x:c>
      <x:c r="C103" t="str">
        <x:v>Hand Soap Refill</x:v>
      </x:c>
      <x:c r="D103" t="str">
        <x:f>XLOOKUP(A103,Contracts!$A$4:$A$15,Contracts!$C$4:$C$15,"")</x:f>
        <x:v>Education</x:v>
      </x:c>
      <x:c r="E103" t="n">
        <x:f>XLOOKUP(A103,Contracts!$A$4:$A$15,Contracts!$J$4:$J$15,0)</x:f>
        <x:v>6</x:v>
      </x:c>
      <x:c r="F103" t="n">
        <x:f>XLOOKUP(A103,Contracts!$A$4:$A$15,Contracts!$F$4:$F$15,0)</x:f>
        <x:v>4</x:v>
      </x:c>
      <x:c r="G103" t="n">
        <x:f>XLOOKUP(A103,Contracts!$A$4:$A$15,Contracts!$D$4:$D$15,0)</x:f>
        <x:v>68000</x:v>
      </x:c>
      <x:c r="H103" t="n">
        <x:f>XLOOKUP(D103,Settings!$A$4:$A$10,Settings!$B$4:$B$10,1)</x:f>
        <x:v>2</x:v>
      </x:c>
      <x:c r="I103" t="n">
        <x:f>XLOOKUP(B103,'Supply Catalog'!$A$4:$A$13,'Supply Catalog'!$E$4:$E$13,0)</x:f>
        <x:v>0.1</x:v>
      </x:c>
      <x:c r="J103" s="32" t="n">
        <x:f>ROUNDUP(E103*((I103*H103)+(G103*XLOOKUP(B103,'Supply Catalog'!$A$4:$A$13,'Supply Catalog'!$F$4:$F$13,0))+(F103*XLOOKUP(B103,'Supply Catalog'!$A$4:$A$13,'Supply Catalog'!$G$4:$G$13,0))),1)</x:f>
        <x:v>6.9</x:v>
      </x:c>
      <x:c r="K103" s="32" t="n">
        <x:f>ROUNDUP(J103*4.33,1)</x:f>
        <x:v>29.9</x:v>
      </x:c>
      <x:c r="L103" t="str">
        <x:f>XLOOKUP(A103,Contracts!$A$4:$A$15,Contracts!$G$4:$G$15,"")</x:f>
        <x:v>Critical</x:v>
      </x:c>
    </x:row>
    <x:row r="104">
      <x:c r="A104" t="str">
        <x:v>FireStation3</x:v>
      </x:c>
      <x:c r="B104" t="str">
        <x:v>SUP001</x:v>
      </x:c>
      <x:c r="C104" t="str">
        <x:v>Trash Liners 55 Gal</x:v>
      </x:c>
      <x:c r="D104" t="str">
        <x:f>XLOOKUP(A104,Contracts!$A$4:$A$15,Contracts!$C$4:$C$15,"")</x:f>
        <x:v>Industrial</x:v>
      </x:c>
      <x:c r="E104" t="n">
        <x:f>XLOOKUP(A104,Contracts!$A$4:$A$15,Contracts!$J$4:$J$15,0)</x:f>
        <x:v>6</x:v>
      </x:c>
      <x:c r="F104" t="n">
        <x:f>XLOOKUP(A104,Contracts!$A$4:$A$15,Contracts!$F$4:$F$15,0)</x:f>
        <x:v>1</x:v>
      </x:c>
      <x:c r="G104" t="n">
        <x:f>XLOOKUP(A104,Contracts!$A$4:$A$15,Contracts!$D$4:$D$15,0)</x:f>
        <x:v>8200</x:v>
      </x:c>
      <x:c r="H104" t="n">
        <x:f>XLOOKUP(D104,Settings!$A$4:$A$10,Settings!$B$4:$B$10,1)</x:f>
        <x:v>1.7</x:v>
      </x:c>
      <x:c r="I104" t="n">
        <x:f>XLOOKUP(B104,'Supply Catalog'!$A$4:$A$13,'Supply Catalog'!$E$4:$E$13,0)</x:f>
        <x:v>0.18</x:v>
      </x:c>
      <x:c r="J104" s="32" t="n">
        <x:f>ROUNDUP(E104*((I104*H104)+(G104*XLOOKUP(B104,'Supply Catalog'!$A$4:$A$13,'Supply Catalog'!$F$4:$F$13,0))+(F104*XLOOKUP(B104,'Supply Catalog'!$A$4:$A$13,'Supply Catalog'!$G$4:$G$13,0))),1)</x:f>
        <x:v>2.9</x:v>
      </x:c>
      <x:c r="K104" s="32" t="n">
        <x:f>ROUNDUP(J104*4.33,1)</x:f>
        <x:v>12.6</x:v>
      </x:c>
      <x:c r="L104" t="str">
        <x:f>XLOOKUP(A104,Contracts!$A$4:$A$15,Contracts!$G$4:$G$15,"")</x:f>
        <x:v>Normal</x:v>
      </x:c>
    </x:row>
    <x:row r="105">
      <x:c r="A105" t="str">
        <x:v>FireStation3</x:v>
      </x:c>
      <x:c r="B105" t="str">
        <x:v>SUP002</x:v>
      </x:c>
      <x:c r="C105" t="str">
        <x:v>Nitrile Gloves</x:v>
      </x:c>
      <x:c r="D105" t="str">
        <x:f>XLOOKUP(A105,Contracts!$A$4:$A$15,Contracts!$C$4:$C$15,"")</x:f>
        <x:v>Industrial</x:v>
      </x:c>
      <x:c r="E105" t="n">
        <x:f>XLOOKUP(A105,Contracts!$A$4:$A$15,Contracts!$J$4:$J$15,0)</x:f>
        <x:v>6</x:v>
      </x:c>
      <x:c r="F105" t="n">
        <x:f>XLOOKUP(A105,Contracts!$A$4:$A$15,Contracts!$F$4:$F$15,0)</x:f>
        <x:v>1</x:v>
      </x:c>
      <x:c r="G105" t="n">
        <x:f>XLOOKUP(A105,Contracts!$A$4:$A$15,Contracts!$D$4:$D$15,0)</x:f>
        <x:v>8200</x:v>
      </x:c>
      <x:c r="H105" t="n">
        <x:f>XLOOKUP(D105,Settings!$A$4:$A$10,Settings!$B$4:$B$10,1)</x:f>
        <x:v>1.7</x:v>
      </x:c>
      <x:c r="I105" t="n">
        <x:f>XLOOKUP(B105,'Supply Catalog'!$A$4:$A$13,'Supply Catalog'!$E$4:$E$13,0)</x:f>
        <x:v>0.45</x:v>
      </x:c>
      <x:c r="J105" s="32" t="n">
        <x:f>ROUNDUP(E105*((I105*H105)+(G105*XLOOKUP(B105,'Supply Catalog'!$A$4:$A$13,'Supply Catalog'!$F$4:$F$13,0))+(F105*XLOOKUP(B105,'Supply Catalog'!$A$4:$A$13,'Supply Catalog'!$G$4:$G$13,0))),1)</x:f>
        <x:v>5.5</x:v>
      </x:c>
      <x:c r="K105" s="32" t="n">
        <x:f>ROUNDUP(J105*4.33,1)</x:f>
        <x:v>23.9</x:v>
      </x:c>
      <x:c r="L105" t="str">
        <x:f>XLOOKUP(A105,Contracts!$A$4:$A$15,Contracts!$G$4:$G$15,"")</x:f>
        <x:v>Normal</x:v>
      </x:c>
    </x:row>
    <x:row r="106">
      <x:c r="A106" t="str">
        <x:v>FireStation3</x:v>
      </x:c>
      <x:c r="B106" t="str">
        <x:v>SUP003</x:v>
      </x:c>
      <x:c r="C106" t="str">
        <x:v>Disinfectant Concentrate</x:v>
      </x:c>
      <x:c r="D106" t="str">
        <x:f>XLOOKUP(A106,Contracts!$A$4:$A$15,Contracts!$C$4:$C$15,"")</x:f>
        <x:v>Industrial</x:v>
      </x:c>
      <x:c r="E106" t="n">
        <x:f>XLOOKUP(A106,Contracts!$A$4:$A$15,Contracts!$J$4:$J$15,0)</x:f>
        <x:v>6</x:v>
      </x:c>
      <x:c r="F106" t="n">
        <x:f>XLOOKUP(A106,Contracts!$A$4:$A$15,Contracts!$F$4:$F$15,0)</x:f>
        <x:v>1</x:v>
      </x:c>
      <x:c r="G106" t="n">
        <x:f>XLOOKUP(A106,Contracts!$A$4:$A$15,Contracts!$D$4:$D$15,0)</x:f>
        <x:v>8200</x:v>
      </x:c>
      <x:c r="H106" t="n">
        <x:f>XLOOKUP(D106,Settings!$A$4:$A$10,Settings!$B$4:$B$10,1)</x:f>
        <x:v>1.7</x:v>
      </x:c>
      <x:c r="I106" t="n">
        <x:f>XLOOKUP(B106,'Supply Catalog'!$A$4:$A$13,'Supply Catalog'!$E$4:$E$13,0)</x:f>
        <x:v>0.12</x:v>
      </x:c>
      <x:c r="J106" s="32" t="n">
        <x:f>ROUNDUP(E106*((I106*H106)+(G106*XLOOKUP(B106,'Supply Catalog'!$A$4:$A$13,'Supply Catalog'!$F$4:$F$13,0))+(F106*XLOOKUP(B106,'Supply Catalog'!$A$4:$A$13,'Supply Catalog'!$G$4:$G$13,0))),1)</x:f>
        <x:v>2.5</x:v>
      </x:c>
      <x:c r="K106" s="32" t="n">
        <x:f>ROUNDUP(J106*4.33,1)</x:f>
        <x:v>10.9</x:v>
      </x:c>
      <x:c r="L106" t="str">
        <x:f>XLOOKUP(A106,Contracts!$A$4:$A$15,Contracts!$G$4:$G$15,"")</x:f>
        <x:v>Normal</x:v>
      </x:c>
    </x:row>
    <x:row r="107">
      <x:c r="A107" t="str">
        <x:v>FireStation3</x:v>
      </x:c>
      <x:c r="B107" t="str">
        <x:v>SUP004</x:v>
      </x:c>
      <x:c r="C107" t="str">
        <x:v>Glass Cleaner</x:v>
      </x:c>
      <x:c r="D107" t="str">
        <x:f>XLOOKUP(A107,Contracts!$A$4:$A$15,Contracts!$C$4:$C$15,"")</x:f>
        <x:v>Industrial</x:v>
      </x:c>
      <x:c r="E107" t="n">
        <x:f>XLOOKUP(A107,Contracts!$A$4:$A$15,Contracts!$J$4:$J$15,0)</x:f>
        <x:v>6</x:v>
      </x:c>
      <x:c r="F107" t="n">
        <x:f>XLOOKUP(A107,Contracts!$A$4:$A$15,Contracts!$F$4:$F$15,0)</x:f>
        <x:v>1</x:v>
      </x:c>
      <x:c r="G107" t="n">
        <x:f>XLOOKUP(A107,Contracts!$A$4:$A$15,Contracts!$D$4:$D$15,0)</x:f>
        <x:v>8200</x:v>
      </x:c>
      <x:c r="H107" t="n">
        <x:f>XLOOKUP(D107,Settings!$A$4:$A$10,Settings!$B$4:$B$10,1)</x:f>
        <x:v>1.7</x:v>
      </x:c>
      <x:c r="I107" t="n">
        <x:f>XLOOKUP(B107,'Supply Catalog'!$A$4:$A$13,'Supply Catalog'!$E$4:$E$13,0)</x:f>
        <x:v>0.08</x:v>
      </x:c>
      <x:c r="J107" s="32" t="n">
        <x:f>ROUNDUP(E107*((I107*H107)+(G107*XLOOKUP(B107,'Supply Catalog'!$A$4:$A$13,'Supply Catalog'!$F$4:$F$13,0))+(F107*XLOOKUP(B107,'Supply Catalog'!$A$4:$A$13,'Supply Catalog'!$G$4:$G$13,0))),1)</x:f>
        <x:v>1.5</x:v>
      </x:c>
      <x:c r="K107" s="32" t="n">
        <x:f>ROUNDUP(J107*4.33,1)</x:f>
        <x:v>6.5</x:v>
      </x:c>
      <x:c r="L107" t="str">
        <x:f>XLOOKUP(A107,Contracts!$A$4:$A$15,Contracts!$G$4:$G$15,"")</x:f>
        <x:v>Normal</x:v>
      </x:c>
    </x:row>
    <x:row r="108">
      <x:c r="A108" t="str">
        <x:v>FireStation3</x:v>
      </x:c>
      <x:c r="B108" t="str">
        <x:v>SUP005</x:v>
      </x:c>
      <x:c r="C108" t="str">
        <x:v>Paper Towels</x:v>
      </x:c>
      <x:c r="D108" t="str">
        <x:f>XLOOKUP(A108,Contracts!$A$4:$A$15,Contracts!$C$4:$C$15,"")</x:f>
        <x:v>Industrial</x:v>
      </x:c>
      <x:c r="E108" t="n">
        <x:f>XLOOKUP(A108,Contracts!$A$4:$A$15,Contracts!$J$4:$J$15,0)</x:f>
        <x:v>6</x:v>
      </x:c>
      <x:c r="F108" t="n">
        <x:f>XLOOKUP(A108,Contracts!$A$4:$A$15,Contracts!$F$4:$F$15,0)</x:f>
        <x:v>1</x:v>
      </x:c>
      <x:c r="G108" t="n">
        <x:f>XLOOKUP(A108,Contracts!$A$4:$A$15,Contracts!$D$4:$D$15,0)</x:f>
        <x:v>8200</x:v>
      </x:c>
      <x:c r="H108" t="n">
        <x:f>XLOOKUP(D108,Settings!$A$4:$A$10,Settings!$B$4:$B$10,1)</x:f>
        <x:v>1.7</x:v>
      </x:c>
      <x:c r="I108" t="n">
        <x:f>XLOOKUP(B108,'Supply Catalog'!$A$4:$A$13,'Supply Catalog'!$E$4:$E$13,0)</x:f>
        <x:v>0.2</x:v>
      </x:c>
      <x:c r="J108" s="32" t="n">
        <x:f>ROUNDUP(E108*((I108*H108)+(G108*XLOOKUP(B108,'Supply Catalog'!$A$4:$A$13,'Supply Catalog'!$F$4:$F$13,0))+(F108*XLOOKUP(B108,'Supply Catalog'!$A$4:$A$13,'Supply Catalog'!$G$4:$G$13,0))),1)</x:f>
        <x:v>3.3</x:v>
      </x:c>
      <x:c r="K108" s="32" t="n">
        <x:f>ROUNDUP(J108*4.33,1)</x:f>
        <x:v>14.3</x:v>
      </x:c>
      <x:c r="L108" t="str">
        <x:f>XLOOKUP(A108,Contracts!$A$4:$A$15,Contracts!$G$4:$G$15,"")</x:f>
        <x:v>Normal</x:v>
      </x:c>
    </x:row>
    <x:row r="109">
      <x:c r="A109" t="str">
        <x:v>FireStation3</x:v>
      </x:c>
      <x:c r="B109" t="str">
        <x:v>SUP006</x:v>
      </x:c>
      <x:c r="C109" t="str">
        <x:v>Toilet Tissue</x:v>
      </x:c>
      <x:c r="D109" t="str">
        <x:f>XLOOKUP(A109,Contracts!$A$4:$A$15,Contracts!$C$4:$C$15,"")</x:f>
        <x:v>Industrial</x:v>
      </x:c>
      <x:c r="E109" t="n">
        <x:f>XLOOKUP(A109,Contracts!$A$4:$A$15,Contracts!$J$4:$J$15,0)</x:f>
        <x:v>6</x:v>
      </x:c>
      <x:c r="F109" t="n">
        <x:f>XLOOKUP(A109,Contracts!$A$4:$A$15,Contracts!$F$4:$F$15,0)</x:f>
        <x:v>1</x:v>
      </x:c>
      <x:c r="G109" t="n">
        <x:f>XLOOKUP(A109,Contracts!$A$4:$A$15,Contracts!$D$4:$D$15,0)</x:f>
        <x:v>8200</x:v>
      </x:c>
      <x:c r="H109" t="n">
        <x:f>XLOOKUP(D109,Settings!$A$4:$A$10,Settings!$B$4:$B$10,1)</x:f>
        <x:v>1.7</x:v>
      </x:c>
      <x:c r="I109" t="n">
        <x:f>XLOOKUP(B109,'Supply Catalog'!$A$4:$A$13,'Supply Catalog'!$E$4:$E$13,0)</x:f>
        <x:v>0.16</x:v>
      </x:c>
      <x:c r="J109" s="32" t="n">
        <x:f>ROUNDUP(E109*((I109*H109)+(G109*XLOOKUP(B109,'Supply Catalog'!$A$4:$A$13,'Supply Catalog'!$F$4:$F$13,0))+(F109*XLOOKUP(B109,'Supply Catalog'!$A$4:$A$13,'Supply Catalog'!$G$4:$G$13,0))),1)</x:f>
        <x:v>2.8</x:v>
      </x:c>
      <x:c r="K109" s="32" t="n">
        <x:f>ROUNDUP(J109*4.33,1)</x:f>
        <x:v>12.2</x:v>
      </x:c>
      <x:c r="L109" t="str">
        <x:f>XLOOKUP(A109,Contracts!$A$4:$A$15,Contracts!$G$4:$G$15,"")</x:f>
        <x:v>Normal</x:v>
      </x:c>
    </x:row>
    <x:row r="110">
      <x:c r="A110" t="str">
        <x:v>FireStation3</x:v>
      </x:c>
      <x:c r="B110" t="str">
        <x:v>SUP007</x:v>
      </x:c>
      <x:c r="C110" t="str">
        <x:v>Microfiber Towels</x:v>
      </x:c>
      <x:c r="D110" t="str">
        <x:f>XLOOKUP(A110,Contracts!$A$4:$A$15,Contracts!$C$4:$C$15,"")</x:f>
        <x:v>Industrial</x:v>
      </x:c>
      <x:c r="E110" t="n">
        <x:f>XLOOKUP(A110,Contracts!$A$4:$A$15,Contracts!$J$4:$J$15,0)</x:f>
        <x:v>6</x:v>
      </x:c>
      <x:c r="F110" t="n">
        <x:f>XLOOKUP(A110,Contracts!$A$4:$A$15,Contracts!$F$4:$F$15,0)</x:f>
        <x:v>1</x:v>
      </x:c>
      <x:c r="G110" t="n">
        <x:f>XLOOKUP(A110,Contracts!$A$4:$A$15,Contracts!$D$4:$D$15,0)</x:f>
        <x:v>8200</x:v>
      </x:c>
      <x:c r="H110" t="n">
        <x:f>XLOOKUP(D110,Settings!$A$4:$A$10,Settings!$B$4:$B$10,1)</x:f>
        <x:v>1.7</x:v>
      </x:c>
      <x:c r="I110" t="n">
        <x:f>XLOOKUP(B110,'Supply Catalog'!$A$4:$A$13,'Supply Catalog'!$E$4:$E$13,0)</x:f>
        <x:v>0.06</x:v>
      </x:c>
      <x:c r="J110" s="32" t="n">
        <x:f>ROUNDUP(E110*((I110*H110)+(G110*XLOOKUP(B110,'Supply Catalog'!$A$4:$A$13,'Supply Catalog'!$F$4:$F$13,0))+(F110*XLOOKUP(B110,'Supply Catalog'!$A$4:$A$13,'Supply Catalog'!$G$4:$G$13,0))),1)</x:f>
        <x:v>1.3</x:v>
      </x:c>
      <x:c r="K110" s="32" t="n">
        <x:f>ROUNDUP(J110*4.33,1)</x:f>
        <x:v>5.7</x:v>
      </x:c>
      <x:c r="L110" t="str">
        <x:f>XLOOKUP(A110,Contracts!$A$4:$A$15,Contracts!$G$4:$G$15,"")</x:f>
        <x:v>Normal</x:v>
      </x:c>
    </x:row>
    <x:row r="111">
      <x:c r="A111" t="str">
        <x:v>FireStation3</x:v>
      </x:c>
      <x:c r="B111" t="str">
        <x:v>SUP008</x:v>
      </x:c>
      <x:c r="C111" t="str">
        <x:v>Mop Heads</x:v>
      </x:c>
      <x:c r="D111" t="str">
        <x:f>XLOOKUP(A111,Contracts!$A$4:$A$15,Contracts!$C$4:$C$15,"")</x:f>
        <x:v>Industrial</x:v>
      </x:c>
      <x:c r="E111" t="n">
        <x:f>XLOOKUP(A111,Contracts!$A$4:$A$15,Contracts!$J$4:$J$15,0)</x:f>
        <x:v>6</x:v>
      </x:c>
      <x:c r="F111" t="n">
        <x:f>XLOOKUP(A111,Contracts!$A$4:$A$15,Contracts!$F$4:$F$15,0)</x:f>
        <x:v>1</x:v>
      </x:c>
      <x:c r="G111" t="n">
        <x:f>XLOOKUP(A111,Contracts!$A$4:$A$15,Contracts!$D$4:$D$15,0)</x:f>
        <x:v>8200</x:v>
      </x:c>
      <x:c r="H111" t="n">
        <x:f>XLOOKUP(D111,Settings!$A$4:$A$10,Settings!$B$4:$B$10,1)</x:f>
        <x:v>1.7</x:v>
      </x:c>
      <x:c r="I111" t="n">
        <x:f>XLOOKUP(B111,'Supply Catalog'!$A$4:$A$13,'Supply Catalog'!$E$4:$E$13,0)</x:f>
        <x:v>0.04</x:v>
      </x:c>
      <x:c r="J111" s="32" t="n">
        <x:f>ROUNDUP(E111*((I111*H111)+(G111*XLOOKUP(B111,'Supply Catalog'!$A$4:$A$13,'Supply Catalog'!$F$4:$F$13,0))+(F111*XLOOKUP(B111,'Supply Catalog'!$A$4:$A$13,'Supply Catalog'!$G$4:$G$13,0))),1)</x:f>
        <x:v>0.8</x:v>
      </x:c>
      <x:c r="K111" s="32" t="n">
        <x:f>ROUNDUP(J111*4.33,1)</x:f>
        <x:v>3.5</x:v>
      </x:c>
      <x:c r="L111" t="str">
        <x:f>XLOOKUP(A111,Contracts!$A$4:$A$15,Contracts!$G$4:$G$15,"")</x:f>
        <x:v>Normal</x:v>
      </x:c>
    </x:row>
    <x:row r="112">
      <x:c r="A112" t="str">
        <x:v>FireStation3</x:v>
      </x:c>
      <x:c r="B112" t="str">
        <x:v>SUP009</x:v>
      </x:c>
      <x:c r="C112" t="str">
        <x:v>Floor Cleaner</x:v>
      </x:c>
      <x:c r="D112" t="str">
        <x:f>XLOOKUP(A112,Contracts!$A$4:$A$15,Contracts!$C$4:$C$15,"")</x:f>
        <x:v>Industrial</x:v>
      </x:c>
      <x:c r="E112" t="n">
        <x:f>XLOOKUP(A112,Contracts!$A$4:$A$15,Contracts!$J$4:$J$15,0)</x:f>
        <x:v>6</x:v>
      </x:c>
      <x:c r="F112" t="n">
        <x:f>XLOOKUP(A112,Contracts!$A$4:$A$15,Contracts!$F$4:$F$15,0)</x:f>
        <x:v>1</x:v>
      </x:c>
      <x:c r="G112" t="n">
        <x:f>XLOOKUP(A112,Contracts!$A$4:$A$15,Contracts!$D$4:$D$15,0)</x:f>
        <x:v>8200</x:v>
      </x:c>
      <x:c r="H112" t="n">
        <x:f>XLOOKUP(D112,Settings!$A$4:$A$10,Settings!$B$4:$B$10,1)</x:f>
        <x:v>1.7</x:v>
      </x:c>
      <x:c r="I112" t="n">
        <x:f>XLOOKUP(B112,'Supply Catalog'!$A$4:$A$13,'Supply Catalog'!$E$4:$E$13,0)</x:f>
        <x:v>0.1</x:v>
      </x:c>
      <x:c r="J112" s="32" t="n">
        <x:f>ROUNDUP(E112*((I112*H112)+(G112*XLOOKUP(B112,'Supply Catalog'!$A$4:$A$13,'Supply Catalog'!$F$4:$F$13,0))+(F112*XLOOKUP(B112,'Supply Catalog'!$A$4:$A$13,'Supply Catalog'!$G$4:$G$13,0))),1)</x:f>
        <x:v>2.2</x:v>
      </x:c>
      <x:c r="K112" s="32" t="n">
        <x:f>ROUNDUP(J112*4.33,1)</x:f>
        <x:v>9.6</x:v>
      </x:c>
      <x:c r="L112" t="str">
        <x:f>XLOOKUP(A112,Contracts!$A$4:$A$15,Contracts!$G$4:$G$15,"")</x:f>
        <x:v>Normal</x:v>
      </x:c>
    </x:row>
    <x:row r="113">
      <x:c r="A113" t="str">
        <x:v>FireStation3</x:v>
      </x:c>
      <x:c r="B113" t="str">
        <x:v>SUP010</x:v>
      </x:c>
      <x:c r="C113" t="str">
        <x:v>Hand Soap Refill</x:v>
      </x:c>
      <x:c r="D113" t="str">
        <x:f>XLOOKUP(A113,Contracts!$A$4:$A$15,Contracts!$C$4:$C$15,"")</x:f>
        <x:v>Industrial</x:v>
      </x:c>
      <x:c r="E113" t="n">
        <x:f>XLOOKUP(A113,Contracts!$A$4:$A$15,Contracts!$J$4:$J$15,0)</x:f>
        <x:v>6</x:v>
      </x:c>
      <x:c r="F113" t="n">
        <x:f>XLOOKUP(A113,Contracts!$A$4:$A$15,Contracts!$F$4:$F$15,0)</x:f>
        <x:v>1</x:v>
      </x:c>
      <x:c r="G113" t="n">
        <x:f>XLOOKUP(A113,Contracts!$A$4:$A$15,Contracts!$D$4:$D$15,0)</x:f>
        <x:v>8200</x:v>
      </x:c>
      <x:c r="H113" t="n">
        <x:f>XLOOKUP(D113,Settings!$A$4:$A$10,Settings!$B$4:$B$10,1)</x:f>
        <x:v>1.7</x:v>
      </x:c>
      <x:c r="I113" t="n">
        <x:f>XLOOKUP(B113,'Supply Catalog'!$A$4:$A$13,'Supply Catalog'!$E$4:$E$13,0)</x:f>
        <x:v>0.1</x:v>
      </x:c>
      <x:c r="J113" s="32" t="n">
        <x:f>ROUNDUP(E113*((I113*H113)+(G113*XLOOKUP(B113,'Supply Catalog'!$A$4:$A$13,'Supply Catalog'!$F$4:$F$13,0))+(F113*XLOOKUP(B113,'Supply Catalog'!$A$4:$A$13,'Supply Catalog'!$G$4:$G$13,0))),1)</x:f>
        <x:v>1.8</x:v>
      </x:c>
      <x:c r="K113" s="32" t="n">
        <x:f>ROUNDUP(J113*4.33,1)</x:f>
        <x:v>7.8</x:v>
      </x:c>
      <x:c r="L113" t="str">
        <x:f>XLOOKUP(A113,Contracts!$A$4:$A$15,Contracts!$G$4:$G$15,"")</x:f>
        <x:v>Normal</x:v>
      </x:c>
    </x:row>
    <x:row r="114">
      <x:c r="A114" t="str">
        <x:v>Library2</x:v>
      </x:c>
      <x:c r="B114" t="str">
        <x:v>SUP001</x:v>
      </x:c>
      <x:c r="C114" t="str">
        <x:v>Trash Liners 55 Gal</x:v>
      </x:c>
      <x:c r="D114" t="str">
        <x:f>XLOOKUP(A114,Contracts!$A$4:$A$15,Contracts!$C$4:$C$15,"")</x:f>
        <x:v>Light Office</x:v>
      </x:c>
      <x:c r="E114" t="n">
        <x:f>XLOOKUP(A114,Contracts!$A$4:$A$15,Contracts!$J$4:$J$15,0)</x:f>
        <x:v>6</x:v>
      </x:c>
      <x:c r="F114" t="n">
        <x:f>XLOOKUP(A114,Contracts!$A$4:$A$15,Contracts!$F$4:$F$15,0)</x:f>
        <x:v>2</x:v>
      </x:c>
      <x:c r="G114" t="n">
        <x:f>XLOOKUP(A114,Contracts!$A$4:$A$15,Contracts!$D$4:$D$15,0)</x:f>
        <x:v>16000</x:v>
      </x:c>
      <x:c r="H114" t="n">
        <x:f>XLOOKUP(D114,Settings!$A$4:$A$10,Settings!$B$4:$B$10,1)</x:f>
        <x:v>0.7</x:v>
      </x:c>
      <x:c r="I114" t="n">
        <x:f>XLOOKUP(B114,'Supply Catalog'!$A$4:$A$13,'Supply Catalog'!$E$4:$E$13,0)</x:f>
        <x:v>0.18</x:v>
      </x:c>
      <x:c r="J114" s="32" t="n">
        <x:f>ROUNDUP(E114*((I114*H114)+(G114*XLOOKUP(B114,'Supply Catalog'!$A$4:$A$13,'Supply Catalog'!$F$4:$F$13,0))+(F114*XLOOKUP(B114,'Supply Catalog'!$A$4:$A$13,'Supply Catalog'!$G$4:$G$13,0))),1)</x:f>
        <x:v>2.8</x:v>
      </x:c>
      <x:c r="K114" s="32" t="n">
        <x:f>ROUNDUP(J114*4.33,1)</x:f>
        <x:v>12.2</x:v>
      </x:c>
      <x:c r="L114" t="str">
        <x:f>XLOOKUP(A114,Contracts!$A$4:$A$15,Contracts!$G$4:$G$15,"")</x:f>
        <x:v>Normal</x:v>
      </x:c>
    </x:row>
    <x:row r="115">
      <x:c r="A115" t="str">
        <x:v>Library2</x:v>
      </x:c>
      <x:c r="B115" t="str">
        <x:v>SUP002</x:v>
      </x:c>
      <x:c r="C115" t="str">
        <x:v>Nitrile Gloves</x:v>
      </x:c>
      <x:c r="D115" t="str">
        <x:f>XLOOKUP(A115,Contracts!$A$4:$A$15,Contracts!$C$4:$C$15,"")</x:f>
        <x:v>Light Office</x:v>
      </x:c>
      <x:c r="E115" t="n">
        <x:f>XLOOKUP(A115,Contracts!$A$4:$A$15,Contracts!$J$4:$J$15,0)</x:f>
        <x:v>6</x:v>
      </x:c>
      <x:c r="F115" t="n">
        <x:f>XLOOKUP(A115,Contracts!$A$4:$A$15,Contracts!$F$4:$F$15,0)</x:f>
        <x:v>2</x:v>
      </x:c>
      <x:c r="G115" t="n">
        <x:f>XLOOKUP(A115,Contracts!$A$4:$A$15,Contracts!$D$4:$D$15,0)</x:f>
        <x:v>16000</x:v>
      </x:c>
      <x:c r="H115" t="n">
        <x:f>XLOOKUP(D115,Settings!$A$4:$A$10,Settings!$B$4:$B$10,1)</x:f>
        <x:v>0.7</x:v>
      </x:c>
      <x:c r="I115" t="n">
        <x:f>XLOOKUP(B115,'Supply Catalog'!$A$4:$A$13,'Supply Catalog'!$E$4:$E$13,0)</x:f>
        <x:v>0.45</x:v>
      </x:c>
      <x:c r="J115" s="32" t="n">
        <x:f>ROUNDUP(E115*((I115*H115)+(G115*XLOOKUP(B115,'Supply Catalog'!$A$4:$A$13,'Supply Catalog'!$F$4:$F$13,0))+(F115*XLOOKUP(B115,'Supply Catalog'!$A$4:$A$13,'Supply Catalog'!$G$4:$G$13,0))),1)</x:f>
        <x:v>3.6</x:v>
      </x:c>
      <x:c r="K115" s="32" t="n">
        <x:f>ROUNDUP(J115*4.33,1)</x:f>
        <x:v>15.6</x:v>
      </x:c>
      <x:c r="L115" t="str">
        <x:f>XLOOKUP(A115,Contracts!$A$4:$A$15,Contracts!$G$4:$G$15,"")</x:f>
        <x:v>Normal</x:v>
      </x:c>
    </x:row>
    <x:row r="116">
      <x:c r="A116" t="str">
        <x:v>Library2</x:v>
      </x:c>
      <x:c r="B116" t="str">
        <x:v>SUP003</x:v>
      </x:c>
      <x:c r="C116" t="str">
        <x:v>Disinfectant Concentrate</x:v>
      </x:c>
      <x:c r="D116" t="str">
        <x:f>XLOOKUP(A116,Contracts!$A$4:$A$15,Contracts!$C$4:$C$15,"")</x:f>
        <x:v>Light Office</x:v>
      </x:c>
      <x:c r="E116" t="n">
        <x:f>XLOOKUP(A116,Contracts!$A$4:$A$15,Contracts!$J$4:$J$15,0)</x:f>
        <x:v>6</x:v>
      </x:c>
      <x:c r="F116" t="n">
        <x:f>XLOOKUP(A116,Contracts!$A$4:$A$15,Contracts!$F$4:$F$15,0)</x:f>
        <x:v>2</x:v>
      </x:c>
      <x:c r="G116" t="n">
        <x:f>XLOOKUP(A116,Contracts!$A$4:$A$15,Contracts!$D$4:$D$15,0)</x:f>
        <x:v>16000</x:v>
      </x:c>
      <x:c r="H116" t="n">
        <x:f>XLOOKUP(D116,Settings!$A$4:$A$10,Settings!$B$4:$B$10,1)</x:f>
        <x:v>0.7</x:v>
      </x:c>
      <x:c r="I116" t="n">
        <x:f>XLOOKUP(B116,'Supply Catalog'!$A$4:$A$13,'Supply Catalog'!$E$4:$E$13,0)</x:f>
        <x:v>0.12</x:v>
      </x:c>
      <x:c r="J116" s="32" t="n">
        <x:f>ROUNDUP(E116*((I116*H116)+(G116*XLOOKUP(B116,'Supply Catalog'!$A$4:$A$13,'Supply Catalog'!$F$4:$F$13,0))+(F116*XLOOKUP(B116,'Supply Catalog'!$A$4:$A$13,'Supply Catalog'!$G$4:$G$13,0))),1)</x:f>
        <x:v>3</x:v>
      </x:c>
      <x:c r="K116" s="32" t="n">
        <x:f>ROUNDUP(J116*4.33,1)</x:f>
        <x:v>13</x:v>
      </x:c>
      <x:c r="L116" t="str">
        <x:f>XLOOKUP(A116,Contracts!$A$4:$A$15,Contracts!$G$4:$G$15,"")</x:f>
        <x:v>Normal</x:v>
      </x:c>
    </x:row>
    <x:row r="117">
      <x:c r="A117" t="str">
        <x:v>Library2</x:v>
      </x:c>
      <x:c r="B117" t="str">
        <x:v>SUP004</x:v>
      </x:c>
      <x:c r="C117" t="str">
        <x:v>Glass Cleaner</x:v>
      </x:c>
      <x:c r="D117" t="str">
        <x:f>XLOOKUP(A117,Contracts!$A$4:$A$15,Contracts!$C$4:$C$15,"")</x:f>
        <x:v>Light Office</x:v>
      </x:c>
      <x:c r="E117" t="n">
        <x:f>XLOOKUP(A117,Contracts!$A$4:$A$15,Contracts!$J$4:$J$15,0)</x:f>
        <x:v>6</x:v>
      </x:c>
      <x:c r="F117" t="n">
        <x:f>XLOOKUP(A117,Contracts!$A$4:$A$15,Contracts!$F$4:$F$15,0)</x:f>
        <x:v>2</x:v>
      </x:c>
      <x:c r="G117" t="n">
        <x:f>XLOOKUP(A117,Contracts!$A$4:$A$15,Contracts!$D$4:$D$15,0)</x:f>
        <x:v>16000</x:v>
      </x:c>
      <x:c r="H117" t="n">
        <x:f>XLOOKUP(D117,Settings!$A$4:$A$10,Settings!$B$4:$B$10,1)</x:f>
        <x:v>0.7</x:v>
      </x:c>
      <x:c r="I117" t="n">
        <x:f>XLOOKUP(B117,'Supply Catalog'!$A$4:$A$13,'Supply Catalog'!$E$4:$E$13,0)</x:f>
        <x:v>0.08</x:v>
      </x:c>
      <x:c r="J117" s="32" t="n">
        <x:f>ROUNDUP(E117*((I117*H117)+(G117*XLOOKUP(B117,'Supply Catalog'!$A$4:$A$13,'Supply Catalog'!$F$4:$F$13,0))+(F117*XLOOKUP(B117,'Supply Catalog'!$A$4:$A$13,'Supply Catalog'!$G$4:$G$13,0))),1)</x:f>
        <x:v>1.7</x:v>
      </x:c>
      <x:c r="K117" s="32" t="n">
        <x:f>ROUNDUP(J117*4.33,1)</x:f>
        <x:v>7.4</x:v>
      </x:c>
      <x:c r="L117" t="str">
        <x:f>XLOOKUP(A117,Contracts!$A$4:$A$15,Contracts!$G$4:$G$15,"")</x:f>
        <x:v>Normal</x:v>
      </x:c>
    </x:row>
    <x:row r="118">
      <x:c r="A118" t="str">
        <x:v>Library2</x:v>
      </x:c>
      <x:c r="B118" t="str">
        <x:v>SUP005</x:v>
      </x:c>
      <x:c r="C118" t="str">
        <x:v>Paper Towels</x:v>
      </x:c>
      <x:c r="D118" t="str">
        <x:f>XLOOKUP(A118,Contracts!$A$4:$A$15,Contracts!$C$4:$C$15,"")</x:f>
        <x:v>Light Office</x:v>
      </x:c>
      <x:c r="E118" t="n">
        <x:f>XLOOKUP(A118,Contracts!$A$4:$A$15,Contracts!$J$4:$J$15,0)</x:f>
        <x:v>6</x:v>
      </x:c>
      <x:c r="F118" t="n">
        <x:f>XLOOKUP(A118,Contracts!$A$4:$A$15,Contracts!$F$4:$F$15,0)</x:f>
        <x:v>2</x:v>
      </x:c>
      <x:c r="G118" t="n">
        <x:f>XLOOKUP(A118,Contracts!$A$4:$A$15,Contracts!$D$4:$D$15,0)</x:f>
        <x:v>16000</x:v>
      </x:c>
      <x:c r="H118" t="n">
        <x:f>XLOOKUP(D118,Settings!$A$4:$A$10,Settings!$B$4:$B$10,1)</x:f>
        <x:v>0.7</x:v>
      </x:c>
      <x:c r="I118" t="n">
        <x:f>XLOOKUP(B118,'Supply Catalog'!$A$4:$A$13,'Supply Catalog'!$E$4:$E$13,0)</x:f>
        <x:v>0.2</x:v>
      </x:c>
      <x:c r="J118" s="32" t="n">
        <x:f>ROUNDUP(E118*((I118*H118)+(G118*XLOOKUP(B118,'Supply Catalog'!$A$4:$A$13,'Supply Catalog'!$F$4:$F$13,0))+(F118*XLOOKUP(B118,'Supply Catalog'!$A$4:$A$13,'Supply Catalog'!$G$4:$G$13,0))),1)</x:f>
        <x:v>3.3</x:v>
      </x:c>
      <x:c r="K118" s="32" t="n">
        <x:f>ROUNDUP(J118*4.33,1)</x:f>
        <x:v>14.3</x:v>
      </x:c>
      <x:c r="L118" t="str">
        <x:f>XLOOKUP(A118,Contracts!$A$4:$A$15,Contracts!$G$4:$G$15,"")</x:f>
        <x:v>Normal</x:v>
      </x:c>
    </x:row>
    <x:row r="119">
      <x:c r="A119" t="str">
        <x:v>Library2</x:v>
      </x:c>
      <x:c r="B119" t="str">
        <x:v>SUP006</x:v>
      </x:c>
      <x:c r="C119" t="str">
        <x:v>Toilet Tissue</x:v>
      </x:c>
      <x:c r="D119" t="str">
        <x:f>XLOOKUP(A119,Contracts!$A$4:$A$15,Contracts!$C$4:$C$15,"")</x:f>
        <x:v>Light Office</x:v>
      </x:c>
      <x:c r="E119" t="n">
        <x:f>XLOOKUP(A119,Contracts!$A$4:$A$15,Contracts!$J$4:$J$15,0)</x:f>
        <x:v>6</x:v>
      </x:c>
      <x:c r="F119" t="n">
        <x:f>XLOOKUP(A119,Contracts!$A$4:$A$15,Contracts!$F$4:$F$15,0)</x:f>
        <x:v>2</x:v>
      </x:c>
      <x:c r="G119" t="n">
        <x:f>XLOOKUP(A119,Contracts!$A$4:$A$15,Contracts!$D$4:$D$15,0)</x:f>
        <x:v>16000</x:v>
      </x:c>
      <x:c r="H119" t="n">
        <x:f>XLOOKUP(D119,Settings!$A$4:$A$10,Settings!$B$4:$B$10,1)</x:f>
        <x:v>0.7</x:v>
      </x:c>
      <x:c r="I119" t="n">
        <x:f>XLOOKUP(B119,'Supply Catalog'!$A$4:$A$13,'Supply Catalog'!$E$4:$E$13,0)</x:f>
        <x:v>0.16</x:v>
      </x:c>
      <x:c r="J119" s="32" t="n">
        <x:f>ROUNDUP(E119*((I119*H119)+(G119*XLOOKUP(B119,'Supply Catalog'!$A$4:$A$13,'Supply Catalog'!$F$4:$F$13,0))+(F119*XLOOKUP(B119,'Supply Catalog'!$A$4:$A$13,'Supply Catalog'!$G$4:$G$13,0))),1)</x:f>
        <x:v>2.9</x:v>
      </x:c>
      <x:c r="K119" s="32" t="n">
        <x:f>ROUNDUP(J119*4.33,1)</x:f>
        <x:v>12.6</x:v>
      </x:c>
      <x:c r="L119" t="str">
        <x:f>XLOOKUP(A119,Contracts!$A$4:$A$15,Contracts!$G$4:$G$15,"")</x:f>
        <x:v>Normal</x:v>
      </x:c>
    </x:row>
    <x:row r="120">
      <x:c r="A120" t="str">
        <x:v>Library2</x:v>
      </x:c>
      <x:c r="B120" t="str">
        <x:v>SUP007</x:v>
      </x:c>
      <x:c r="C120" t="str">
        <x:v>Microfiber Towels</x:v>
      </x:c>
      <x:c r="D120" t="str">
        <x:f>XLOOKUP(A120,Contracts!$A$4:$A$15,Contracts!$C$4:$C$15,"")</x:f>
        <x:v>Light Office</x:v>
      </x:c>
      <x:c r="E120" t="n">
        <x:f>XLOOKUP(A120,Contracts!$A$4:$A$15,Contracts!$J$4:$J$15,0)</x:f>
        <x:v>6</x:v>
      </x:c>
      <x:c r="F120" t="n">
        <x:f>XLOOKUP(A120,Contracts!$A$4:$A$15,Contracts!$F$4:$F$15,0)</x:f>
        <x:v>2</x:v>
      </x:c>
      <x:c r="G120" t="n">
        <x:f>XLOOKUP(A120,Contracts!$A$4:$A$15,Contracts!$D$4:$D$15,0)</x:f>
        <x:v>16000</x:v>
      </x:c>
      <x:c r="H120" t="n">
        <x:f>XLOOKUP(D120,Settings!$A$4:$A$10,Settings!$B$4:$B$10,1)</x:f>
        <x:v>0.7</x:v>
      </x:c>
      <x:c r="I120" t="n">
        <x:f>XLOOKUP(B120,'Supply Catalog'!$A$4:$A$13,'Supply Catalog'!$E$4:$E$13,0)</x:f>
        <x:v>0.06</x:v>
      </x:c>
      <x:c r="J120" s="32" t="n">
        <x:f>ROUNDUP(E120*((I120*H120)+(G120*XLOOKUP(B120,'Supply Catalog'!$A$4:$A$13,'Supply Catalog'!$F$4:$F$13,0))+(F120*XLOOKUP(B120,'Supply Catalog'!$A$4:$A$13,'Supply Catalog'!$G$4:$G$13,0))),1)</x:f>
        <x:v>1.5</x:v>
      </x:c>
      <x:c r="K120" s="32" t="n">
        <x:f>ROUNDUP(J120*4.33,1)</x:f>
        <x:v>6.5</x:v>
      </x:c>
      <x:c r="L120" t="str">
        <x:f>XLOOKUP(A120,Contracts!$A$4:$A$15,Contracts!$G$4:$G$15,"")</x:f>
        <x:v>Normal</x:v>
      </x:c>
    </x:row>
    <x:row r="121">
      <x:c r="A121" t="str">
        <x:v>Library2</x:v>
      </x:c>
      <x:c r="B121" t="str">
        <x:v>SUP008</x:v>
      </x:c>
      <x:c r="C121" t="str">
        <x:v>Mop Heads</x:v>
      </x:c>
      <x:c r="D121" t="str">
        <x:f>XLOOKUP(A121,Contracts!$A$4:$A$15,Contracts!$C$4:$C$15,"")</x:f>
        <x:v>Light Office</x:v>
      </x:c>
      <x:c r="E121" t="n">
        <x:f>XLOOKUP(A121,Contracts!$A$4:$A$15,Contracts!$J$4:$J$15,0)</x:f>
        <x:v>6</x:v>
      </x:c>
      <x:c r="F121" t="n">
        <x:f>XLOOKUP(A121,Contracts!$A$4:$A$15,Contracts!$F$4:$F$15,0)</x:f>
        <x:v>2</x:v>
      </x:c>
      <x:c r="G121" t="n">
        <x:f>XLOOKUP(A121,Contracts!$A$4:$A$15,Contracts!$D$4:$D$15,0)</x:f>
        <x:v>16000</x:v>
      </x:c>
      <x:c r="H121" t="n">
        <x:f>XLOOKUP(D121,Settings!$A$4:$A$10,Settings!$B$4:$B$10,1)</x:f>
        <x:v>0.7</x:v>
      </x:c>
      <x:c r="I121" t="n">
        <x:f>XLOOKUP(B121,'Supply Catalog'!$A$4:$A$13,'Supply Catalog'!$E$4:$E$13,0)</x:f>
        <x:v>0.04</x:v>
      </x:c>
      <x:c r="J121" s="32" t="n">
        <x:f>ROUNDUP(E121*((I121*H121)+(G121*XLOOKUP(B121,'Supply Catalog'!$A$4:$A$13,'Supply Catalog'!$F$4:$F$13,0))+(F121*XLOOKUP(B121,'Supply Catalog'!$A$4:$A$13,'Supply Catalog'!$G$4:$G$13,0))),1)</x:f>
        <x:v>0.8</x:v>
      </x:c>
      <x:c r="K121" s="32" t="n">
        <x:f>ROUNDUP(J121*4.33,1)</x:f>
        <x:v>3.5</x:v>
      </x:c>
      <x:c r="L121" t="str">
        <x:f>XLOOKUP(A121,Contracts!$A$4:$A$15,Contracts!$G$4:$G$15,"")</x:f>
        <x:v>Normal</x:v>
      </x:c>
    </x:row>
    <x:row r="122">
      <x:c r="A122" t="str">
        <x:v>Library2</x:v>
      </x:c>
      <x:c r="B122" t="str">
        <x:v>SUP009</x:v>
      </x:c>
      <x:c r="C122" t="str">
        <x:v>Floor Cleaner</x:v>
      </x:c>
      <x:c r="D122" t="str">
        <x:f>XLOOKUP(A122,Contracts!$A$4:$A$15,Contracts!$C$4:$C$15,"")</x:f>
        <x:v>Light Office</x:v>
      </x:c>
      <x:c r="E122" t="n">
        <x:f>XLOOKUP(A122,Contracts!$A$4:$A$15,Contracts!$J$4:$J$15,0)</x:f>
        <x:v>6</x:v>
      </x:c>
      <x:c r="F122" t="n">
        <x:f>XLOOKUP(A122,Contracts!$A$4:$A$15,Contracts!$F$4:$F$15,0)</x:f>
        <x:v>2</x:v>
      </x:c>
      <x:c r="G122" t="n">
        <x:f>XLOOKUP(A122,Contracts!$A$4:$A$15,Contracts!$D$4:$D$15,0)</x:f>
        <x:v>16000</x:v>
      </x:c>
      <x:c r="H122" t="n">
        <x:f>XLOOKUP(D122,Settings!$A$4:$A$10,Settings!$B$4:$B$10,1)</x:f>
        <x:v>0.7</x:v>
      </x:c>
      <x:c r="I122" t="n">
        <x:f>XLOOKUP(B122,'Supply Catalog'!$A$4:$A$13,'Supply Catalog'!$E$4:$E$13,0)</x:f>
        <x:v>0.1</x:v>
      </x:c>
      <x:c r="J122" s="32" t="n">
        <x:f>ROUNDUP(E122*((I122*H122)+(G122*XLOOKUP(B122,'Supply Catalog'!$A$4:$A$13,'Supply Catalog'!$F$4:$F$13,0))+(F122*XLOOKUP(B122,'Supply Catalog'!$A$4:$A$13,'Supply Catalog'!$G$4:$G$13,0))),1)</x:f>
        <x:v>2.7</x:v>
      </x:c>
      <x:c r="K122" s="32" t="n">
        <x:f>ROUNDUP(J122*4.33,1)</x:f>
        <x:v>11.7</x:v>
      </x:c>
      <x:c r="L122" t="str">
        <x:f>XLOOKUP(A122,Contracts!$A$4:$A$15,Contracts!$G$4:$G$15,"")</x:f>
        <x:v>Normal</x:v>
      </x:c>
    </x:row>
    <x:row r="123">
      <x:c r="A123" t="str">
        <x:v>Library2</x:v>
      </x:c>
      <x:c r="B123" t="str">
        <x:v>SUP010</x:v>
      </x:c>
      <x:c r="C123" t="str">
        <x:v>Hand Soap Refill</x:v>
      </x:c>
      <x:c r="D123" t="str">
        <x:f>XLOOKUP(A123,Contracts!$A$4:$A$15,Contracts!$C$4:$C$15,"")</x:f>
        <x:v>Light Office</x:v>
      </x:c>
      <x:c r="E123" t="n">
        <x:f>XLOOKUP(A123,Contracts!$A$4:$A$15,Contracts!$J$4:$J$15,0)</x:f>
        <x:v>6</x:v>
      </x:c>
      <x:c r="F123" t="n">
        <x:f>XLOOKUP(A123,Contracts!$A$4:$A$15,Contracts!$F$4:$F$15,0)</x:f>
        <x:v>2</x:v>
      </x:c>
      <x:c r="G123" t="n">
        <x:f>XLOOKUP(A123,Contracts!$A$4:$A$15,Contracts!$D$4:$D$15,0)</x:f>
        <x:v>16000</x:v>
      </x:c>
      <x:c r="H123" t="n">
        <x:f>XLOOKUP(D123,Settings!$A$4:$A$10,Settings!$B$4:$B$10,1)</x:f>
        <x:v>0.7</x:v>
      </x:c>
      <x:c r="I123" t="n">
        <x:f>XLOOKUP(B123,'Supply Catalog'!$A$4:$A$13,'Supply Catalog'!$E$4:$E$13,0)</x:f>
        <x:v>0.1</x:v>
      </x:c>
      <x:c r="J123" s="32" t="n">
        <x:f>ROUNDUP(E123*((I123*H123)+(G123*XLOOKUP(B123,'Supply Catalog'!$A$4:$A$13,'Supply Catalog'!$F$4:$F$13,0))+(F123*XLOOKUP(B123,'Supply Catalog'!$A$4:$A$13,'Supply Catalog'!$G$4:$G$13,0))),1)</x:f>
        <x:v>2</x:v>
      </x:c>
      <x:c r="K123" s="32" t="n">
        <x:f>ROUNDUP(J123*4.33,1)</x:f>
        <x:v>8.7</x:v>
      </x:c>
      <x:c r="L123" t="str">
        <x:f>XLOOKUP(A123,Contracts!$A$4:$A$15,Contracts!$G$4:$G$15,"")</x:f>
        <x:v>Normal</x:v>
      </x:c>
    </x:row>
  </x:sheetData>
  <x:pageMargins left="0.7" right="0.7" top="0.75" bottom="0.75" header="0.3" footer="0.3"/>
  <x:tableParts count="1">
    <x:tablePart xmlns:r="http://schemas.openxmlformats.org/officeDocument/2006/relationships" r:id="Rc5c77e30fe72482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46" t="str">
        <x:v>Purchase Order Recommendations</x:v>
      </x:c>
      <x:c r="B1" s="46" t="str"/>
      <x:c r="C1" s="46" t="str"/>
      <x:c r="D1" s="46" t="str"/>
      <x:c r="E1" s="46" t="str"/>
      <x:c r="F1" s="46" t="str"/>
      <x:c r="G1" s="46" t="str"/>
      <x:c r="H1" s="46" t="str"/>
      <x:c r="I1" s="46" t="str"/>
      <x:c r="J1" s="46" t="str"/>
      <x:c r="K1" s="46" t="str"/>
      <x:c r="L1" s="46" t="str"/>
      <x:c r="M1" s="46" t="str"/>
      <x:c r="N1" s="46" t="str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3">
      <x:c r="A3" s="24" t="str">
        <x:v>PO #</x:v>
      </x:c>
      <x:c r="B3" s="24" t="str">
        <x:v>Item ID</x:v>
      </x:c>
      <x:c r="C3" s="24" t="str">
        <x:v>Item</x:v>
      </x:c>
      <x:c r="D3" s="24" t="str">
        <x:v>Status</x:v>
      </x:c>
      <x:c r="E3" s="24" t="str">
        <x:v>Priority</x:v>
      </x:c>
      <x:c r="F3" s="24" t="str">
        <x:v>Current Stock</x:v>
      </x:c>
      <x:c r="G3" s="24" t="str">
        <x:v>Reorder Point</x:v>
      </x:c>
      <x:c r="H3" s="24" t="str">
        <x:v>Suggested Qty</x:v>
      </x:c>
      <x:c r="I3" s="24" t="str">
        <x:v>Recommended Vendor</x:v>
      </x:c>
      <x:c r="J3" s="24" t="str">
        <x:v>Unit Cost</x:v>
      </x:c>
      <x:c r="K3" s="24" t="str">
        <x:v>Estimated Cost</x:v>
      </x:c>
      <x:c r="L3" s="24" t="str">
        <x:v>Lead Time Days</x:v>
      </x:c>
      <x:c r="M3" s="24" t="str">
        <x:v>ETA</x:v>
      </x:c>
      <x:c r="N3" s="24" t="str">
        <x:v>Manager Notes</x:v>
      </x:c>
    </x:row>
    <x:row r="4">
      <x:c r="A4" t="str">
        <x:v>PO-1001</x:v>
      </x:c>
      <x:c r="B4" t="str">
        <x:v>SUP001</x:v>
      </x:c>
      <x:c r="C4" t="str">
        <x:v>Trash Liners 55 Gal</x:v>
      </x:c>
      <x:c r="D4" t="str">
        <x:f>IF(XLOOKUP(B4,Inventory!$A$4:$A$13,Inventory!$K$4:$K$13,"")="ORDER","Draft","Not Needed")</x:f>
        <x:v>Draft</x:v>
      </x:c>
      <x:c r="E4" t="str">
        <x:f>IF(D4="Draft",IF(F4&lt;=G4*0.75,"Critical","Normal"),"Low")</x:f>
        <x:v>Critical</x:v>
      </x:c>
      <x:c r="F4" s="50" t="n">
        <x:f>XLOOKUP(B4,Inventory!$A$4:$A$13,Inventory!$E$4:$E$13,0)</x:f>
        <x:v>28</x:v>
      </x:c>
      <x:c r="G4" s="50" t="n">
        <x:f>XLOOKUP(B4,Inventory!$A$4:$A$13,Inventory!$I$4:$I$13,0)</x:f>
        <x:v>91</x:v>
      </x:c>
      <x:c r="H4" s="50" t="n">
        <x:f>XLOOKUP(B4,Inventory!$A$4:$A$13,Inventory!$J$4:$J$13,0)</x:f>
        <x:v>38</x:v>
      </x:c>
      <x:c r="I4" t="str">
        <x:f>IFERROR(LOOKUP(2,1/((Vendors!$B$4:$B$29=B4)*(Vendors!$J$4:$J$29="Preferred")),Vendors!$A$4:$A$29),"")</x:f>
        <x:v>CleanCo Supply</x:v>
      </x:c>
      <x:c r="J4" s="28" t="n">
        <x:f>IFERROR(LOOKUP(2,1/((Vendors!$B$4:$B$29=B4)*(Vendors!$J$4:$J$29="Preferred")),Vendors!$D$4:$D$29),0)</x:f>
        <x:v>52</x:v>
      </x:c>
      <x:c r="K4" s="28" t="n">
        <x:f>IF(D4="Draft",H4*J4,0)</x:f>
        <x:v>1976</x:v>
      </x:c>
      <x:c r="L4" t="n">
        <x:f>IFERROR(LOOKUP(2,1/((Vendors!$B$4:$B$29=B4)*(Vendors!$J$4:$J$29="Preferred")),Vendors!$E$4:$E$29),0)</x:f>
        <x:v>3</x:v>
      </x:c>
      <x:c r="M4" s="26" t="n">
        <x:f>IF(D4="Draft",TODAY()+L4,"")</x:f>
        <x:v>46151</x:v>
      </x:c>
      <x:c r="N4" t="str"/>
    </x:row>
    <x:row r="5">
      <x:c r="A5" t="str">
        <x:v>PO-1002</x:v>
      </x:c>
      <x:c r="B5" t="str">
        <x:v>SUP002</x:v>
      </x:c>
      <x:c r="C5" t="str">
        <x:v>Nitrile Gloves</x:v>
      </x:c>
      <x:c r="D5" t="str">
        <x:f>IF(XLOOKUP(B5,Inventory!$A$4:$A$13,Inventory!$K$4:$K$13,"")="ORDER","Draft","Not Needed")</x:f>
        <x:v>Draft</x:v>
      </x:c>
      <x:c r="E5" t="str">
        <x:f>IF(D5="Draft",IF(F5&lt;=G5*0.75,"Critical","Normal"),"Low")</x:f>
        <x:v>Critical</x:v>
      </x:c>
      <x:c r="F5" s="50" t="n">
        <x:f>XLOOKUP(B5,Inventory!$A$4:$A$13,Inventory!$E$4:$E$13,0)</x:f>
        <x:v>45</x:v>
      </x:c>
      <x:c r="G5" s="50" t="n">
        <x:f>XLOOKUP(B5,Inventory!$A$4:$A$13,Inventory!$I$4:$I$13,0)</x:f>
        <x:v>132</x:v>
      </x:c>
      <x:c r="H5" s="50" t="n">
        <x:f>XLOOKUP(B5,Inventory!$A$4:$A$13,Inventory!$J$4:$J$13,0)</x:f>
        <x:v>75</x:v>
      </x:c>
      <x:c r="I5" t="str">
        <x:f>IFERROR(LOOKUP(2,1/((Vendors!$B$4:$B$29=B5)*(Vendors!$J$4:$J$29="Preferred")),Vendors!$A$4:$A$29),"")</x:f>
        <x:v>CleanCo Supply</x:v>
      </x:c>
      <x:c r="J5" s="28" t="n">
        <x:f>IFERROR(LOOKUP(2,1/((Vendors!$B$4:$B$29=B5)*(Vendors!$J$4:$J$29="Preferred")),Vendors!$D$4:$D$29),0)</x:f>
        <x:v>41</x:v>
      </x:c>
      <x:c r="K5" s="28" t="n">
        <x:f>IF(D5="Draft",H5*J5,0)</x:f>
        <x:v>3075</x:v>
      </x:c>
      <x:c r="L5" t="n">
        <x:f>IFERROR(LOOKUP(2,1/((Vendors!$B$4:$B$29=B5)*(Vendors!$J$4:$J$29="Preferred")),Vendors!$E$4:$E$29),0)</x:f>
        <x:v>3</x:v>
      </x:c>
      <x:c r="M5" s="26" t="n">
        <x:f>IF(D5="Draft",TODAY()+L5,"")</x:f>
        <x:v>46151</x:v>
      </x:c>
      <x:c r="N5" t="str"/>
    </x:row>
    <x:row r="6">
      <x:c r="A6" t="str">
        <x:v>PO-1003</x:v>
      </x:c>
      <x:c r="B6" t="str">
        <x:v>SUP003</x:v>
      </x:c>
      <x:c r="C6" t="str">
        <x:v>Disinfectant Concentrate</x:v>
      </x:c>
      <x:c r="D6" t="str">
        <x:f>IF(XLOOKUP(B6,Inventory!$A$4:$A$13,Inventory!$K$4:$K$13,"")="ORDER","Draft","Not Needed")</x:f>
        <x:v>Draft</x:v>
      </x:c>
      <x:c r="E6" t="str">
        <x:f>IF(D6="Draft",IF(F6&lt;=G6*0.75,"Critical","Normal"),"Low")</x:f>
        <x:v>Critical</x:v>
      </x:c>
      <x:c r="F6" s="50" t="n">
        <x:f>XLOOKUP(B6,Inventory!$A$4:$A$13,Inventory!$E$4:$E$13,0)</x:f>
        <x:v>14</x:v>
      </x:c>
      <x:c r="G6" s="50" t="n">
        <x:f>XLOOKUP(B6,Inventory!$A$4:$A$13,Inventory!$I$4:$I$13,0)</x:f>
        <x:v>84</x:v>
      </x:c>
      <x:c r="H6" s="50" t="n">
        <x:f>XLOOKUP(B6,Inventory!$A$4:$A$13,Inventory!$J$4:$J$13,0)</x:f>
        <x:v>22</x:v>
      </x:c>
      <x:c r="I6" t="str">
        <x:f>IFERROR(LOOKUP(2,1/((Vendors!$B$4:$B$29=B6)*(Vendors!$J$4:$J$29="Preferred")),Vendors!$A$4:$A$29),"")</x:f>
        <x:v>Janitorial Direct</x:v>
      </x:c>
      <x:c r="J6" s="28" t="n">
        <x:f>IFERROR(LOOKUP(2,1/((Vendors!$B$4:$B$29=B6)*(Vendors!$J$4:$J$29="Preferred")),Vendors!$D$4:$D$29),0)</x:f>
        <x:v>24</x:v>
      </x:c>
      <x:c r="K6" s="28" t="n">
        <x:f>IF(D6="Draft",H6*J6,0)</x:f>
        <x:v>528</x:v>
      </x:c>
      <x:c r="L6" t="n">
        <x:f>IFERROR(LOOKUP(2,1/((Vendors!$B$4:$B$29=B6)*(Vendors!$J$4:$J$29="Preferred")),Vendors!$E$4:$E$29),0)</x:f>
        <x:v>3</x:v>
      </x:c>
      <x:c r="M6" s="26" t="n">
        <x:f>IF(D6="Draft",TODAY()+L6,"")</x:f>
        <x:v>46151</x:v>
      </x:c>
      <x:c r="N6" t="str"/>
    </x:row>
    <x:row r="7">
      <x:c r="A7" t="str">
        <x:v>PO-1004</x:v>
      </x:c>
      <x:c r="B7" t="str">
        <x:v>SUP004</x:v>
      </x:c>
      <x:c r="C7" t="str">
        <x:v>Glass Cleaner</x:v>
      </x:c>
      <x:c r="D7" t="str">
        <x:f>IF(XLOOKUP(B7,Inventory!$A$4:$A$13,Inventory!$K$4:$K$13,"")="ORDER","Draft","Not Needed")</x:f>
        <x:v>Draft</x:v>
      </x:c>
      <x:c r="E7" t="str">
        <x:f>IF(D7="Draft",IF(F7&lt;=G7*0.75,"Critical","Normal"),"Low")</x:f>
        <x:v>Critical</x:v>
      </x:c>
      <x:c r="F7" s="50" t="n">
        <x:f>XLOOKUP(B7,Inventory!$A$4:$A$13,Inventory!$E$4:$E$13,0)</x:f>
        <x:v>12</x:v>
      </x:c>
      <x:c r="G7" s="50" t="n">
        <x:f>XLOOKUP(B7,Inventory!$A$4:$A$13,Inventory!$I$4:$I$13,0)</x:f>
        <x:v>49</x:v>
      </x:c>
      <x:c r="H7" s="50" t="n">
        <x:f>XLOOKUP(B7,Inventory!$A$4:$A$13,Inventory!$J$4:$J$13,0)</x:f>
        <x:v>12</x:v>
      </x:c>
      <x:c r="I7" t="str">
        <x:f>IFERROR(LOOKUP(2,1/((Vendors!$B$4:$B$29=B7)*(Vendors!$J$4:$J$29="Preferred")),Vendors!$A$4:$A$29),"")</x:f>
        <x:v>CleanCo Supply</x:v>
      </x:c>
      <x:c r="J7" s="28" t="n">
        <x:f>IFERROR(LOOKUP(2,1/((Vendors!$B$4:$B$29=B7)*(Vendors!$J$4:$J$29="Preferred")),Vendors!$D$4:$D$29),0)</x:f>
        <x:v>18</x:v>
      </x:c>
      <x:c r="K7" s="28" t="n">
        <x:f>IF(D7="Draft",H7*J7,0)</x:f>
        <x:v>216</x:v>
      </x:c>
      <x:c r="L7" t="n">
        <x:f>IFERROR(LOOKUP(2,1/((Vendors!$B$4:$B$29=B7)*(Vendors!$J$4:$J$29="Preferred")),Vendors!$E$4:$E$29),0)</x:f>
        <x:v>3</x:v>
      </x:c>
      <x:c r="M7" s="26" t="n">
        <x:f>IF(D7="Draft",TODAY()+L7,"")</x:f>
        <x:v>46151</x:v>
      </x:c>
      <x:c r="N7" t="str"/>
    </x:row>
    <x:row r="8">
      <x:c r="A8" t="str">
        <x:v>PO-1005</x:v>
      </x:c>
      <x:c r="B8" t="str">
        <x:v>SUP005</x:v>
      </x:c>
      <x:c r="C8" t="str">
        <x:v>Paper Towels</x:v>
      </x:c>
      <x:c r="D8" t="str">
        <x:f>IF(XLOOKUP(B8,Inventory!$A$4:$A$13,Inventory!$K$4:$K$13,"")="ORDER","Draft","Not Needed")</x:f>
        <x:v>Draft</x:v>
      </x:c>
      <x:c r="E8" t="str">
        <x:f>IF(D8="Draft",IF(F8&lt;=G8*0.75,"Critical","Normal"),"Low")</x:f>
        <x:v>Critical</x:v>
      </x:c>
      <x:c r="F8" s="50" t="n">
        <x:f>XLOOKUP(B8,Inventory!$A$4:$A$13,Inventory!$E$4:$E$13,0)</x:f>
        <x:v>18</x:v>
      </x:c>
      <x:c r="G8" s="50" t="n">
        <x:f>XLOOKUP(B8,Inventory!$A$4:$A$13,Inventory!$I$4:$I$13,0)</x:f>
        <x:v>97</x:v>
      </x:c>
      <x:c r="H8" s="50" t="n">
        <x:f>XLOOKUP(B8,Inventory!$A$4:$A$13,Inventory!$J$4:$J$13,0)</x:f>
        <x:v>24</x:v>
      </x:c>
      <x:c r="I8" t="str">
        <x:f>IFERROR(LOOKUP(2,1/((Vendors!$B$4:$B$29=B8)*(Vendors!$J$4:$J$29="Preferred")),Vendors!$A$4:$A$29),"")</x:f>
        <x:v>CleanCo Supply</x:v>
      </x:c>
      <x:c r="J8" s="28" t="n">
        <x:f>IFERROR(LOOKUP(2,1/((Vendors!$B$4:$B$29=B8)*(Vendors!$J$4:$J$29="Preferred")),Vendors!$D$4:$D$29),0)</x:f>
        <x:v>47</x:v>
      </x:c>
      <x:c r="K8" s="28" t="n">
        <x:f>IF(D8="Draft",H8*J8,0)</x:f>
        <x:v>1128</x:v>
      </x:c>
      <x:c r="L8" t="n">
        <x:f>IFERROR(LOOKUP(2,1/((Vendors!$B$4:$B$29=B8)*(Vendors!$J$4:$J$29="Preferred")),Vendors!$E$4:$E$29),0)</x:f>
        <x:v>2</x:v>
      </x:c>
      <x:c r="M8" s="26" t="n">
        <x:f>IF(D8="Draft",TODAY()+L8,"")</x:f>
        <x:v>46150</x:v>
      </x:c>
      <x:c r="N8" t="str"/>
    </x:row>
    <x:row r="9">
      <x:c r="A9" t="str">
        <x:v>PO-1006</x:v>
      </x:c>
      <x:c r="B9" t="str">
        <x:v>SUP006</x:v>
      </x:c>
      <x:c r="C9" t="str">
        <x:v>Toilet Tissue</x:v>
      </x:c>
      <x:c r="D9" t="str">
        <x:f>IF(XLOOKUP(B9,Inventory!$A$4:$A$13,Inventory!$K$4:$K$13,"")="ORDER","Draft","Not Needed")</x:f>
        <x:v>Draft</x:v>
      </x:c>
      <x:c r="E9" t="str">
        <x:f>IF(D9="Draft",IF(F9&lt;=G9*0.75,"Critical","Normal"),"Low")</x:f>
        <x:v>Critical</x:v>
      </x:c>
      <x:c r="F9" s="50" t="n">
        <x:f>XLOOKUP(B9,Inventory!$A$4:$A$13,Inventory!$E$4:$E$13,0)</x:f>
        <x:v>16</x:v>
      </x:c>
      <x:c r="G9" s="50" t="n">
        <x:f>XLOOKUP(B9,Inventory!$A$4:$A$13,Inventory!$I$4:$I$13,0)</x:f>
        <x:v>84</x:v>
      </x:c>
      <x:c r="H9" s="50" t="n">
        <x:f>XLOOKUP(B9,Inventory!$A$4:$A$13,Inventory!$J$4:$J$13,0)</x:f>
        <x:v>20</x:v>
      </x:c>
      <x:c r="I9" t="str">
        <x:f>IFERROR(LOOKUP(2,1/((Vendors!$B$4:$B$29=B9)*(Vendors!$J$4:$J$29="Preferred")),Vendors!$A$4:$A$29),"")</x:f>
        <x:v>CleanCo Supply</x:v>
      </x:c>
      <x:c r="J9" s="28" t="n">
        <x:f>IFERROR(LOOKUP(2,1/((Vendors!$B$4:$B$29=B9)*(Vendors!$J$4:$J$29="Preferred")),Vendors!$D$4:$D$29),0)</x:f>
        <x:v>41</x:v>
      </x:c>
      <x:c r="K9" s="28" t="n">
        <x:f>IF(D9="Draft",H9*J9,0)</x:f>
        <x:v>820</x:v>
      </x:c>
      <x:c r="L9" t="n">
        <x:f>IFERROR(LOOKUP(2,1/((Vendors!$B$4:$B$29=B9)*(Vendors!$J$4:$J$29="Preferred")),Vendors!$E$4:$E$29),0)</x:f>
        <x:v>2</x:v>
      </x:c>
      <x:c r="M9" s="26" t="n">
        <x:f>IF(D9="Draft",TODAY()+L9,"")</x:f>
        <x:v>46150</x:v>
      </x:c>
      <x:c r="N9" t="str"/>
    </x:row>
    <x:row r="10">
      <x:c r="A10" t="str">
        <x:v>PO-1007</x:v>
      </x:c>
      <x:c r="B10" t="str">
        <x:v>SUP007</x:v>
      </x:c>
      <x:c r="C10" t="str">
        <x:v>Microfiber Towels</x:v>
      </x:c>
      <x:c r="D10" t="str">
        <x:f>IF(XLOOKUP(B10,Inventory!$A$4:$A$13,Inventory!$K$4:$K$13,"")="ORDER","Draft","Not Needed")</x:f>
        <x:v>Draft</x:v>
      </x:c>
      <x:c r="E10" t="str">
        <x:f>IF(D10="Draft",IF(F10&lt;=G10*0.75,"Critical","Normal"),"Low")</x:f>
        <x:v>Critical</x:v>
      </x:c>
      <x:c r="F10" s="50" t="n">
        <x:f>XLOOKUP(B10,Inventory!$A$4:$A$13,Inventory!$E$4:$E$13,0)</x:f>
        <x:v>20</x:v>
      </x:c>
      <x:c r="G10" s="50" t="n">
        <x:f>XLOOKUP(B10,Inventory!$A$4:$A$13,Inventory!$I$4:$I$13,0)</x:f>
        <x:v>42</x:v>
      </x:c>
      <x:c r="H10" s="50" t="n">
        <x:f>XLOOKUP(B10,Inventory!$A$4:$A$13,Inventory!$J$4:$J$13,0)</x:f>
        <x:v>10</x:v>
      </x:c>
      <x:c r="I10" t="str">
        <x:f>IFERROR(LOOKUP(2,1/((Vendors!$B$4:$B$29=B10)*(Vendors!$J$4:$J$29="Preferred")),Vendors!$A$4:$A$29),"")</x:f>
        <x:v>CleanCo Supply</x:v>
      </x:c>
      <x:c r="J10" s="28" t="n">
        <x:f>IFERROR(LOOKUP(2,1/((Vendors!$B$4:$B$29=B10)*(Vendors!$J$4:$J$29="Preferred")),Vendors!$D$4:$D$29),0)</x:f>
        <x:v>32</x:v>
      </x:c>
      <x:c r="K10" s="28" t="n">
        <x:f>IF(D10="Draft",H10*J10,0)</x:f>
        <x:v>320</x:v>
      </x:c>
      <x:c r="L10" t="n">
        <x:f>IFERROR(LOOKUP(2,1/((Vendors!$B$4:$B$29=B10)*(Vendors!$J$4:$J$29="Preferred")),Vendors!$E$4:$E$29),0)</x:f>
        <x:v>3</x:v>
      </x:c>
      <x:c r="M10" s="26" t="n">
        <x:f>IF(D10="Draft",TODAY()+L10,"")</x:f>
        <x:v>46151</x:v>
      </x:c>
      <x:c r="N10" t="str"/>
    </x:row>
    <x:row r="11">
      <x:c r="A11" t="str">
        <x:v>PO-1008</x:v>
      </x:c>
      <x:c r="B11" t="str">
        <x:v>SUP008</x:v>
      </x:c>
      <x:c r="C11" t="str">
        <x:v>Mop Heads</x:v>
      </x:c>
      <x:c r="D11" t="str">
        <x:f>IF(XLOOKUP(B11,Inventory!$A$4:$A$13,Inventory!$K$4:$K$13,"")="ORDER","Draft","Not Needed")</x:f>
        <x:v>Draft</x:v>
      </x:c>
      <x:c r="E11" t="str">
        <x:f>IF(D11="Draft",IF(F11&lt;=G11*0.75,"Critical","Normal"),"Low")</x:f>
        <x:v>Critical</x:v>
      </x:c>
      <x:c r="F11" s="50" t="n">
        <x:f>XLOOKUP(B11,Inventory!$A$4:$A$13,Inventory!$E$4:$E$13,0)</x:f>
        <x:v>13</x:v>
      </x:c>
      <x:c r="G11" s="50" t="n">
        <x:f>XLOOKUP(B11,Inventory!$A$4:$A$13,Inventory!$I$4:$I$13,0)</x:f>
        <x:v>28</x:v>
      </x:c>
      <x:c r="H11" s="50" t="n">
        <x:f>XLOOKUP(B11,Inventory!$A$4:$A$13,Inventory!$J$4:$J$13,0)</x:f>
        <x:v>11</x:v>
      </x:c>
      <x:c r="I11" t="str">
        <x:f>IFERROR(LOOKUP(2,1/((Vendors!$B$4:$B$29=B11)*(Vendors!$J$4:$J$29="Preferred")),Vendors!$A$4:$A$29),"")</x:f>
        <x:v>Janitorial Direct</x:v>
      </x:c>
      <x:c r="J11" s="28" t="n">
        <x:f>IFERROR(LOOKUP(2,1/((Vendors!$B$4:$B$29=B11)*(Vendors!$J$4:$J$29="Preferred")),Vendors!$D$4:$D$29),0)</x:f>
        <x:v>9</x:v>
      </x:c>
      <x:c r="K11" s="28" t="n">
        <x:f>IF(D11="Draft",H11*J11,0)</x:f>
        <x:v>99</x:v>
      </x:c>
      <x:c r="L11" t="n">
        <x:f>IFERROR(LOOKUP(2,1/((Vendors!$B$4:$B$29=B11)*(Vendors!$J$4:$J$29="Preferred")),Vendors!$E$4:$E$29),0)</x:f>
        <x:v>3</x:v>
      </x:c>
      <x:c r="M11" s="26" t="n">
        <x:f>IF(D11="Draft",TODAY()+L11,"")</x:f>
        <x:v>46151</x:v>
      </x:c>
      <x:c r="N11" t="str"/>
    </x:row>
    <x:row r="12">
      <x:c r="A12" t="str">
        <x:v>PO-1009</x:v>
      </x:c>
      <x:c r="B12" t="str">
        <x:v>SUP009</x:v>
      </x:c>
      <x:c r="C12" t="str">
        <x:v>Floor Cleaner</x:v>
      </x:c>
      <x:c r="D12" t="str">
        <x:f>IF(XLOOKUP(B12,Inventory!$A$4:$A$13,Inventory!$K$4:$K$13,"")="ORDER","Draft","Not Needed")</x:f>
        <x:v>Draft</x:v>
      </x:c>
      <x:c r="E12" t="str">
        <x:f>IF(D12="Draft",IF(F12&lt;=G12*0.75,"Critical","Normal"),"Low")</x:f>
        <x:v>Critical</x:v>
      </x:c>
      <x:c r="F12" s="50" t="n">
        <x:f>XLOOKUP(B12,Inventory!$A$4:$A$13,Inventory!$E$4:$E$13,0)</x:f>
        <x:v>10</x:v>
      </x:c>
      <x:c r="G12" s="50" t="n">
        <x:f>XLOOKUP(B12,Inventory!$A$4:$A$13,Inventory!$I$4:$I$13,0)</x:f>
        <x:v>74</x:v>
      </x:c>
      <x:c r="H12" s="50" t="n">
        <x:f>XLOOKUP(B12,Inventory!$A$4:$A$13,Inventory!$J$4:$J$13,0)</x:f>
        <x:v>20</x:v>
      </x:c>
      <x:c r="I12" t="str">
        <x:f>IFERROR(LOOKUP(2,1/((Vendors!$B$4:$B$29=B12)*(Vendors!$J$4:$J$29="Preferred")),Vendors!$A$4:$A$29),"")</x:f>
        <x:v>Janitorial Direct</x:v>
      </x:c>
      <x:c r="J12" s="28" t="n">
        <x:f>IFERROR(LOOKUP(2,1/((Vendors!$B$4:$B$29=B12)*(Vendors!$J$4:$J$29="Preferred")),Vendors!$D$4:$D$29),0)</x:f>
        <x:v>21</x:v>
      </x:c>
      <x:c r="K12" s="28" t="n">
        <x:f>IF(D12="Draft",H12*J12,0)</x:f>
        <x:v>420</x:v>
      </x:c>
      <x:c r="L12" t="n">
        <x:f>IFERROR(LOOKUP(2,1/((Vendors!$B$4:$B$29=B12)*(Vendors!$J$4:$J$29="Preferred")),Vendors!$E$4:$E$29),0)</x:f>
        <x:v>3</x:v>
      </x:c>
      <x:c r="M12" s="26" t="n">
        <x:f>IF(D12="Draft",TODAY()+L12,"")</x:f>
        <x:v>46151</x:v>
      </x:c>
      <x:c r="N12" t="str"/>
    </x:row>
    <x:row r="13">
      <x:c r="A13" t="str">
        <x:v>PO-1010</x:v>
      </x:c>
      <x:c r="B13" t="str">
        <x:v>SUP010</x:v>
      </x:c>
      <x:c r="C13" t="str">
        <x:v>Hand Soap Refill</x:v>
      </x:c>
      <x:c r="D13" t="str">
        <x:f>IF(XLOOKUP(B13,Inventory!$A$4:$A$13,Inventory!$K$4:$K$13,"")="ORDER","Draft","Not Needed")</x:f>
        <x:v>Draft</x:v>
      </x:c>
      <x:c r="E13" t="str">
        <x:f>IF(D13="Draft",IF(F13&lt;=G13*0.75,"Critical","Normal"),"Low")</x:f>
        <x:v>Critical</x:v>
      </x:c>
      <x:c r="F13" s="50" t="n">
        <x:f>XLOOKUP(B13,Inventory!$A$4:$A$13,Inventory!$E$4:$E$13,0)</x:f>
        <x:v>11</x:v>
      </x:c>
      <x:c r="G13" s="50" t="n">
        <x:f>XLOOKUP(B13,Inventory!$A$4:$A$13,Inventory!$I$4:$I$13,0)</x:f>
        <x:v>56</x:v>
      </x:c>
      <x:c r="H13" s="50" t="n">
        <x:f>XLOOKUP(B13,Inventory!$A$4:$A$13,Inventory!$J$4:$J$13,0)</x:f>
        <x:v>13</x:v>
      </x:c>
      <x:c r="I13" t="str">
        <x:f>IFERROR(LOOKUP(2,1/((Vendors!$B$4:$B$29=B13)*(Vendors!$J$4:$J$29="Preferred")),Vendors!$A$4:$A$29),"")</x:f>
        <x:v>CleanCo Supply</x:v>
      </x:c>
      <x:c r="J13" s="28" t="n">
        <x:f>IFERROR(LOOKUP(2,1/((Vendors!$B$4:$B$29=B13)*(Vendors!$J$4:$J$29="Preferred")),Vendors!$D$4:$D$29),0)</x:f>
        <x:v>37</x:v>
      </x:c>
      <x:c r="K13" s="28" t="n">
        <x:f>IF(D13="Draft",H13*J13,0)</x:f>
        <x:v>481</x:v>
      </x:c>
      <x:c r="L13" t="n">
        <x:f>IFERROR(LOOKUP(2,1/((Vendors!$B$4:$B$29=B13)*(Vendors!$J$4:$J$29="Preferred")),Vendors!$E$4:$E$29),0)</x:f>
        <x:v>2</x:v>
      </x:c>
      <x:c r="M13" s="26" t="n">
        <x:f>IF(D13="Draft",TODAY()+L13,"")</x:f>
        <x:v>46150</x:v>
      </x:c>
      <x:c r="N13" t="str"/>
    </x:row>
  </x:sheetData>
  <x:conditionalFormatting sqref="D4:D80">
    <x:cfRule type="expression" dxfId="4" priority="1">
      <x:formula>D4="Draft"</x:formula>
    </x:cfRule>
    <x:cfRule type="expression" dxfId="5" priority="2">
      <x:formula>D4="Not Needed"</x:formula>
    </x:cfRule>
  </x:conditionalFormatting>
  <x:dataValidations count="2">
    <x:dataValidation type="list" sqref="D4:D80">
      <x:formula1>Settings!$D$4:$D$8</x:formula1>
    </x:dataValidation>
    <x:dataValidation type="list" sqref="E4:E80">
      <x:formula1>Settings!$F$4:$F$7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16fcd98b14467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46" t="str">
        <x:v>Usage Log - Manager Entry</x:v>
      </x:c>
      <x:c r="B1" s="46" t="str"/>
      <x:c r="C1" s="46" t="str"/>
      <x:c r="D1" s="46" t="str"/>
      <x:c r="E1" s="46" t="str"/>
      <x:c r="F1" s="46" t="str"/>
      <x:c r="G1" s="46" t="str"/>
      <x:c r="H1" s="46" t="str"/>
      <x:c r="I1" s="46" t="str"/>
      <x:c r="J1" s="46" t="str"/>
      <x:c r="K1" s="46" t="str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3">
      <x:c r="A3" s="24" t="str">
        <x:v>Date</x:v>
      </x:c>
      <x:c r="B3" s="24" t="str">
        <x:v>Client</x:v>
      </x:c>
      <x:c r="C3" s="24" t="str">
        <x:v>Item ID</x:v>
      </x:c>
      <x:c r="D3" s="24" t="str">
        <x:v>Item</x:v>
      </x:c>
      <x:c r="E3" s="24" t="str">
        <x:v>Qty Used</x:v>
      </x:c>
      <x:c r="F3" s="24" t="str">
        <x:v>Entered By</x:v>
      </x:c>
      <x:c r="G3" s="24" t="str">
        <x:v>Reason</x:v>
      </x:c>
      <x:c r="H3" s="24" t="str">
        <x:v>Contract Priority</x:v>
      </x:c>
      <x:c r="I3" s="24" t="str">
        <x:v>Month</x:v>
      </x:c>
      <x:c r="J3" s="24" t="str">
        <x:v>Week</x:v>
      </x:c>
      <x:c r="K3" s="24" t="str">
        <x:v>Notes</x:v>
      </x:c>
    </x:row>
    <x:row r="4">
      <x:c r="A4" s="26" t="n">
        <x:v>46143</x:v>
      </x:c>
      <x:c r="B4" t="str">
        <x:v>Bank</x:v>
      </x:c>
      <x:c r="C4" t="str">
        <x:v>SUP001</x:v>
      </x:c>
      <x:c r="D4" t="str">
        <x:f>IFERROR(XLOOKUP(C4,'Supply Catalog'!$A$4:$A$13,'Supply Catalog'!$B$4:$B$13,""),"")</x:f>
        <x:v>Trash Liners 55 Gal</x:v>
      </x:c>
      <x:c r="E4" t="n">
        <x:v>1</x:v>
      </x:c>
      <x:c r="F4" t="str">
        <x:v>Manager</x:v>
      </x:c>
      <x:c r="G4" t="str">
        <x:v>Standard Service</x:v>
      </x:c>
      <x:c r="H4" t="str">
        <x:f>IFERROR(XLOOKUP(B4,Contracts!$A$4:$A$15,Contracts!$G$4:$G$15,""),"")</x:f>
        <x:v>High</x:v>
      </x:c>
      <x:c r="I4" t="str">
        <x:f>IF(A4="","",TEXT(A4,"mmm yyyy"))</x:f>
        <x:v>May 2026</x:v>
      </x:c>
      <x:c r="J4" t="n">
        <x:f>IF(A4="","",WEEKNUM(A4))</x:f>
        <x:v>18</x:v>
      </x:c>
      <x:c r="K4" t="str"/>
    </x:row>
    <x:row r="5">
      <x:c r="A5" s="26" t="n">
        <x:v>46143</x:v>
      </x:c>
      <x:c r="B5" t="str">
        <x:v>HighSchool3</x:v>
      </x:c>
      <x:c r="C5" t="str">
        <x:v>SUP003</x:v>
      </x:c>
      <x:c r="D5" t="str">
        <x:f>IFERROR(XLOOKUP(C5,'Supply Catalog'!$A$4:$A$13,'Supply Catalog'!$B$4:$B$13,""),"")</x:f>
        <x:v>Disinfectant Concentrate</x:v>
      </x:c>
      <x:c r="E5" t="n">
        <x:v>2</x:v>
      </x:c>
      <x:c r="F5" t="str">
        <x:v>Manager</x:v>
      </x:c>
      <x:c r="G5" t="str">
        <x:v>Standard Service</x:v>
      </x:c>
      <x:c r="H5" t="str">
        <x:f>IFERROR(XLOOKUP(B5,Contracts!$A$4:$A$15,Contracts!$G$4:$G$15,""),"")</x:f>
        <x:v>Critical</x:v>
      </x:c>
      <x:c r="I5" t="str">
        <x:f>IF(A5="","",TEXT(A5,"mmm yyyy"))</x:f>
        <x:v>May 2026</x:v>
      </x:c>
      <x:c r="J5" t="n">
        <x:f>IF(A5="","",WEEKNUM(A5))</x:f>
        <x:v>18</x:v>
      </x:c>
      <x:c r="K5" t="str"/>
    </x:row>
    <x:row r="6">
      <x:c r="A6" s="26" t="n">
        <x:v>46144</x:v>
      </x:c>
      <x:c r="B6" t="str">
        <x:v>Library2</x:v>
      </x:c>
      <x:c r="C6" t="str">
        <x:v>SUP005</x:v>
      </x:c>
      <x:c r="D6" t="str">
        <x:f>IFERROR(XLOOKUP(C6,'Supply Catalog'!$A$4:$A$13,'Supply Catalog'!$B$4:$B$13,""),"")</x:f>
        <x:v>Paper Towels</x:v>
      </x:c>
      <x:c r="E6" t="n">
        <x:v>1</x:v>
      </x:c>
      <x:c r="F6" t="str">
        <x:v>Lead</x:v>
      </x:c>
      <x:c r="G6" t="str">
        <x:v>Restroom Refill</x:v>
      </x:c>
      <x:c r="H6" t="str">
        <x:f>IFERROR(XLOOKUP(B6,Contracts!$A$4:$A$15,Contracts!$G$4:$G$15,""),"")</x:f>
        <x:v>Normal</x:v>
      </x:c>
      <x:c r="I6" t="str">
        <x:f>IF(A6="","",TEXT(A6,"mmm yyyy"))</x:f>
        <x:v>May 2026</x:v>
      </x:c>
      <x:c r="J6" t="n">
        <x:f>IF(A6="","",WEEKNUM(A6))</x:f>
        <x:v>18</x:v>
      </x:c>
      <x:c r="K6" t="str"/>
    </x:row>
    <x:row r="7">
      <x:c r="A7" s="26"/>
      <x:c r="B7" t="str"/>
      <x:c r="C7" t="str"/>
      <x:c r="D7" t="str">
        <x:f>IFERROR(XLOOKUP(C7,'Supply Catalog'!$A$4:$A$13,'Supply Catalog'!$B$4:$B$13,""),"")</x:f>
      </x:c>
      <x:c r="E7"/>
      <x:c r="F7" t="str"/>
      <x:c r="G7" t="str"/>
      <x:c r="H7" t="str">
        <x:f>IFERROR(XLOOKUP(B7,Contracts!$A$4:$A$15,Contracts!$G$4:$G$15,""),"")</x:f>
      </x:c>
      <x:c r="I7" t="str">
        <x:f>IF(A7="","",TEXT(A7,"mmm yyyy"))</x:f>
      </x:c>
      <x:c r="J7" t="str">
        <x:f>IF(A7="","",WEEKNUM(A7))</x:f>
      </x:c>
      <x:c r="K7" t="str"/>
    </x:row>
    <x:row r="8">
      <x:c r="A8" s="26"/>
      <x:c r="B8" t="str"/>
      <x:c r="C8" t="str"/>
      <x:c r="D8" t="str">
        <x:f>IFERROR(XLOOKUP(C8,'Supply Catalog'!$A$4:$A$13,'Supply Catalog'!$B$4:$B$13,""),"")</x:f>
      </x:c>
      <x:c r="E8"/>
      <x:c r="F8" t="str"/>
      <x:c r="G8" t="str"/>
      <x:c r="H8" t="str">
        <x:f>IFERROR(XLOOKUP(B8,Contracts!$A$4:$A$15,Contracts!$G$4:$G$15,""),"")</x:f>
      </x:c>
      <x:c r="I8" t="str">
        <x:f>IF(A8="","",TEXT(A8,"mmm yyyy"))</x:f>
      </x:c>
      <x:c r="J8" t="str">
        <x:f>IF(A8="","",WEEKNUM(A8))</x:f>
      </x:c>
      <x:c r="K8" t="str"/>
    </x:row>
    <x:row r="9">
      <x:c r="A9" s="26"/>
      <x:c r="B9" t="str"/>
      <x:c r="C9" t="str"/>
      <x:c r="D9" t="str">
        <x:f>IFERROR(XLOOKUP(C9,'Supply Catalog'!$A$4:$A$13,'Supply Catalog'!$B$4:$B$13,""),"")</x:f>
      </x:c>
      <x:c r="E9"/>
      <x:c r="F9" t="str"/>
      <x:c r="G9" t="str"/>
      <x:c r="H9" t="str">
        <x:f>IFERROR(XLOOKUP(B9,Contracts!$A$4:$A$15,Contracts!$G$4:$G$15,""),"")</x:f>
      </x:c>
      <x:c r="I9" t="str">
        <x:f>IF(A9="","",TEXT(A9,"mmm yyyy"))</x:f>
      </x:c>
      <x:c r="J9" t="str">
        <x:f>IF(A9="","",WEEKNUM(A9))</x:f>
      </x:c>
      <x:c r="K9" t="str"/>
    </x:row>
    <x:row r="10">
      <x:c r="A10" s="26"/>
      <x:c r="B10" t="str"/>
      <x:c r="C10" t="str"/>
      <x:c r="D10" t="str">
        <x:f>IFERROR(XLOOKUP(C10,'Supply Catalog'!$A$4:$A$13,'Supply Catalog'!$B$4:$B$13,""),"")</x:f>
      </x:c>
      <x:c r="E10"/>
      <x:c r="F10" t="str"/>
      <x:c r="G10" t="str"/>
      <x:c r="H10" t="str">
        <x:f>IFERROR(XLOOKUP(B10,Contracts!$A$4:$A$15,Contracts!$G$4:$G$15,""),"")</x:f>
      </x:c>
      <x:c r="I10" t="str">
        <x:f>IF(A10="","",TEXT(A10,"mmm yyyy"))</x:f>
      </x:c>
      <x:c r="J10" t="str">
        <x:f>IF(A10="","",WEEKNUM(A10))</x:f>
      </x:c>
      <x:c r="K10" t="str"/>
    </x:row>
    <x:row r="11">
      <x:c r="A11" s="26"/>
      <x:c r="B11" t="str"/>
      <x:c r="C11" t="str"/>
      <x:c r="D11" t="str">
        <x:f>IFERROR(XLOOKUP(C11,'Supply Catalog'!$A$4:$A$13,'Supply Catalog'!$B$4:$B$13,""),"")</x:f>
      </x:c>
      <x:c r="E11"/>
      <x:c r="F11" t="str"/>
      <x:c r="G11" t="str"/>
      <x:c r="H11" t="str">
        <x:f>IFERROR(XLOOKUP(B11,Contracts!$A$4:$A$15,Contracts!$G$4:$G$15,""),"")</x:f>
      </x:c>
      <x:c r="I11" t="str">
        <x:f>IF(A11="","",TEXT(A11,"mmm yyyy"))</x:f>
      </x:c>
      <x:c r="J11" t="str">
        <x:f>IF(A11="","",WEEKNUM(A11))</x:f>
      </x:c>
      <x:c r="K11" t="str"/>
    </x:row>
    <x:row r="12">
      <x:c r="A12" s="26"/>
      <x:c r="B12" t="str"/>
      <x:c r="C12" t="str"/>
      <x:c r="D12" t="str">
        <x:f>IFERROR(XLOOKUP(C12,'Supply Catalog'!$A$4:$A$13,'Supply Catalog'!$B$4:$B$13,""),"")</x:f>
      </x:c>
      <x:c r="E12"/>
      <x:c r="F12" t="str"/>
      <x:c r="G12" t="str"/>
      <x:c r="H12" t="str">
        <x:f>IFERROR(XLOOKUP(B12,Contracts!$A$4:$A$15,Contracts!$G$4:$G$15,""),"")</x:f>
      </x:c>
      <x:c r="I12" t="str">
        <x:f>IF(A12="","",TEXT(A12,"mmm yyyy"))</x:f>
      </x:c>
      <x:c r="J12" t="str">
        <x:f>IF(A12="","",WEEKNUM(A12))</x:f>
      </x:c>
      <x:c r="K12" t="str"/>
    </x:row>
    <x:row r="13">
      <x:c r="A13" s="26"/>
      <x:c r="B13" t="str"/>
      <x:c r="C13" t="str"/>
      <x:c r="D13" t="str">
        <x:f>IFERROR(XLOOKUP(C13,'Supply Catalog'!$A$4:$A$13,'Supply Catalog'!$B$4:$B$13,""),"")</x:f>
      </x:c>
      <x:c r="E13"/>
      <x:c r="F13" t="str"/>
      <x:c r="G13" t="str"/>
      <x:c r="H13" t="str">
        <x:f>IFERROR(XLOOKUP(B13,Contracts!$A$4:$A$15,Contracts!$G$4:$G$15,""),"")</x:f>
      </x:c>
      <x:c r="I13" t="str">
        <x:f>IF(A13="","",TEXT(A13,"mmm yyyy"))</x:f>
      </x:c>
      <x:c r="J13" t="str">
        <x:f>IF(A13="","",WEEKNUM(A13))</x:f>
      </x:c>
      <x:c r="K13" t="str"/>
    </x:row>
    <x:row r="14">
      <x:c r="A14" s="26"/>
      <x:c r="B14" t="str"/>
      <x:c r="C14" t="str"/>
      <x:c r="D14" t="str">
        <x:f>IFERROR(XLOOKUP(C14,'Supply Catalog'!$A$4:$A$13,'Supply Catalog'!$B$4:$B$13,""),"")</x:f>
      </x:c>
      <x:c r="E14"/>
      <x:c r="F14" t="str"/>
      <x:c r="G14" t="str"/>
      <x:c r="H14" t="str">
        <x:f>IFERROR(XLOOKUP(B14,Contracts!$A$4:$A$15,Contracts!$G$4:$G$15,""),"")</x:f>
      </x:c>
      <x:c r="I14" t="str">
        <x:f>IF(A14="","",TEXT(A14,"mmm yyyy"))</x:f>
      </x:c>
      <x:c r="J14" t="str">
        <x:f>IF(A14="","",WEEKNUM(A14))</x:f>
      </x:c>
      <x:c r="K14" t="str"/>
    </x:row>
    <x:row r="15">
      <x:c r="A15" s="26"/>
      <x:c r="B15" t="str"/>
      <x:c r="C15" t="str"/>
      <x:c r="D15" t="str">
        <x:f>IFERROR(XLOOKUP(C15,'Supply Catalog'!$A$4:$A$13,'Supply Catalog'!$B$4:$B$13,""),"")</x:f>
      </x:c>
      <x:c r="E15"/>
      <x:c r="F15" t="str"/>
      <x:c r="G15" t="str"/>
      <x:c r="H15" t="str">
        <x:f>IFERROR(XLOOKUP(B15,Contracts!$A$4:$A$15,Contracts!$G$4:$G$15,""),"")</x:f>
      </x:c>
      <x:c r="I15" t="str">
        <x:f>IF(A15="","",TEXT(A15,"mmm yyyy"))</x:f>
      </x:c>
      <x:c r="J15" t="str">
        <x:f>IF(A15="","",WEEKNUM(A15))</x:f>
      </x:c>
      <x:c r="K15" t="str"/>
    </x:row>
    <x:row r="16">
      <x:c r="A16" s="26"/>
      <x:c r="B16" t="str"/>
      <x:c r="C16" t="str"/>
      <x:c r="D16" t="str">
        <x:f>IFERROR(XLOOKUP(C16,'Supply Catalog'!$A$4:$A$13,'Supply Catalog'!$B$4:$B$13,""),"")</x:f>
      </x:c>
      <x:c r="E16"/>
      <x:c r="F16" t="str"/>
      <x:c r="G16" t="str"/>
      <x:c r="H16" t="str">
        <x:f>IFERROR(XLOOKUP(B16,Contracts!$A$4:$A$15,Contracts!$G$4:$G$15,""),"")</x:f>
      </x:c>
      <x:c r="I16" t="str">
        <x:f>IF(A16="","",TEXT(A16,"mmm yyyy"))</x:f>
      </x:c>
      <x:c r="J16" t="str">
        <x:f>IF(A16="","",WEEKNUM(A16))</x:f>
      </x:c>
      <x:c r="K16" t="str"/>
    </x:row>
    <x:row r="17">
      <x:c r="A17" s="26"/>
      <x:c r="B17" t="str"/>
      <x:c r="C17" t="str"/>
      <x:c r="D17" t="str">
        <x:f>IFERROR(XLOOKUP(C17,'Supply Catalog'!$A$4:$A$13,'Supply Catalog'!$B$4:$B$13,""),"")</x:f>
      </x:c>
      <x:c r="E17"/>
      <x:c r="F17" t="str"/>
      <x:c r="G17" t="str"/>
      <x:c r="H17" t="str">
        <x:f>IFERROR(XLOOKUP(B17,Contracts!$A$4:$A$15,Contracts!$G$4:$G$15,""),"")</x:f>
      </x:c>
      <x:c r="I17" t="str">
        <x:f>IF(A17="","",TEXT(A17,"mmm yyyy"))</x:f>
      </x:c>
      <x:c r="J17" t="str">
        <x:f>IF(A17="","",WEEKNUM(A17))</x:f>
      </x:c>
      <x:c r="K17" t="str"/>
    </x:row>
    <x:row r="18">
      <x:c r="A18" s="26"/>
      <x:c r="B18" t="str"/>
      <x:c r="C18" t="str"/>
      <x:c r="D18" t="str">
        <x:f>IFERROR(XLOOKUP(C18,'Supply Catalog'!$A$4:$A$13,'Supply Catalog'!$B$4:$B$13,""),"")</x:f>
      </x:c>
      <x:c r="E18"/>
      <x:c r="F18" t="str"/>
      <x:c r="G18" t="str"/>
      <x:c r="H18" t="str">
        <x:f>IFERROR(XLOOKUP(B18,Contracts!$A$4:$A$15,Contracts!$G$4:$G$15,""),"")</x:f>
      </x:c>
      <x:c r="I18" t="str">
        <x:f>IF(A18="","",TEXT(A18,"mmm yyyy"))</x:f>
      </x:c>
      <x:c r="J18" t="str">
        <x:f>IF(A18="","",WEEKNUM(A18))</x:f>
      </x:c>
      <x:c r="K18" t="str"/>
    </x:row>
    <x:row r="19">
      <x:c r="A19" s="26"/>
      <x:c r="B19" t="str"/>
      <x:c r="C19" t="str"/>
      <x:c r="D19" t="str">
        <x:f>IFERROR(XLOOKUP(C19,'Supply Catalog'!$A$4:$A$13,'Supply Catalog'!$B$4:$B$13,""),"")</x:f>
      </x:c>
      <x:c r="E19"/>
      <x:c r="F19" t="str"/>
      <x:c r="G19" t="str"/>
      <x:c r="H19" t="str">
        <x:f>IFERROR(XLOOKUP(B19,Contracts!$A$4:$A$15,Contracts!$G$4:$G$15,""),"")</x:f>
      </x:c>
      <x:c r="I19" t="str">
        <x:f>IF(A19="","",TEXT(A19,"mmm yyyy"))</x:f>
      </x:c>
      <x:c r="J19" t="str">
        <x:f>IF(A19="","",WEEKNUM(A19))</x:f>
      </x:c>
      <x:c r="K19" t="str"/>
    </x:row>
    <x:row r="20">
      <x:c r="A20" s="26"/>
      <x:c r="B20" t="str"/>
      <x:c r="C20" t="str"/>
      <x:c r="D20" t="str">
        <x:f>IFERROR(XLOOKUP(C20,'Supply Catalog'!$A$4:$A$13,'Supply Catalog'!$B$4:$B$13,""),"")</x:f>
      </x:c>
      <x:c r="E20"/>
      <x:c r="F20" t="str"/>
      <x:c r="G20" t="str"/>
      <x:c r="H20" t="str">
        <x:f>IFERROR(XLOOKUP(B20,Contracts!$A$4:$A$15,Contracts!$G$4:$G$15,""),"")</x:f>
      </x:c>
      <x:c r="I20" t="str">
        <x:f>IF(A20="","",TEXT(A20,"mmm yyyy"))</x:f>
      </x:c>
      <x:c r="J20" t="str">
        <x:f>IF(A20="","",WEEKNUM(A20))</x:f>
      </x:c>
      <x:c r="K20" t="str"/>
    </x:row>
    <x:row r="21">
      <x:c r="A21" s="26"/>
      <x:c r="B21" t="str"/>
      <x:c r="C21" t="str"/>
      <x:c r="D21" t="str">
        <x:f>IFERROR(XLOOKUP(C21,'Supply Catalog'!$A$4:$A$13,'Supply Catalog'!$B$4:$B$13,""),"")</x:f>
      </x:c>
      <x:c r="E21"/>
      <x:c r="F21" t="str"/>
      <x:c r="G21" t="str"/>
      <x:c r="H21" t="str">
        <x:f>IFERROR(XLOOKUP(B21,Contracts!$A$4:$A$15,Contracts!$G$4:$G$15,""),"")</x:f>
      </x:c>
      <x:c r="I21" t="str">
        <x:f>IF(A21="","",TEXT(A21,"mmm yyyy"))</x:f>
      </x:c>
      <x:c r="J21" t="str">
        <x:f>IF(A21="","",WEEKNUM(A21))</x:f>
      </x:c>
      <x:c r="K21" t="str"/>
    </x:row>
    <x:row r="22">
      <x:c r="A22" s="26"/>
      <x:c r="B22" t="str"/>
      <x:c r="C22" t="str"/>
      <x:c r="D22" t="str">
        <x:f>IFERROR(XLOOKUP(C22,'Supply Catalog'!$A$4:$A$13,'Supply Catalog'!$B$4:$B$13,""),"")</x:f>
      </x:c>
      <x:c r="E22"/>
      <x:c r="F22" t="str"/>
      <x:c r="G22" t="str"/>
      <x:c r="H22" t="str">
        <x:f>IFERROR(XLOOKUP(B22,Contracts!$A$4:$A$15,Contracts!$G$4:$G$15,""),"")</x:f>
      </x:c>
      <x:c r="I22" t="str">
        <x:f>IF(A22="","",TEXT(A22,"mmm yyyy"))</x:f>
      </x:c>
      <x:c r="J22" t="str">
        <x:f>IF(A22="","",WEEKNUM(A22))</x:f>
      </x:c>
      <x:c r="K22" t="str"/>
    </x:row>
    <x:row r="23">
      <x:c r="A23" s="26"/>
      <x:c r="B23" t="str"/>
      <x:c r="C23" t="str"/>
      <x:c r="D23" t="str">
        <x:f>IFERROR(XLOOKUP(C23,'Supply Catalog'!$A$4:$A$13,'Supply Catalog'!$B$4:$B$13,""),"")</x:f>
      </x:c>
      <x:c r="E23"/>
      <x:c r="F23" t="str"/>
      <x:c r="G23" t="str"/>
      <x:c r="H23" t="str">
        <x:f>IFERROR(XLOOKUP(B23,Contracts!$A$4:$A$15,Contracts!$G$4:$G$15,""),"")</x:f>
      </x:c>
      <x:c r="I23" t="str">
        <x:f>IF(A23="","",TEXT(A23,"mmm yyyy"))</x:f>
      </x:c>
      <x:c r="J23" t="str">
        <x:f>IF(A23="","",WEEKNUM(A23))</x:f>
      </x:c>
      <x:c r="K23" t="str"/>
    </x:row>
  </x:sheetData>
  <x:dataValidations count="2">
    <x:dataValidation type="list" sqref="B4:B100">
      <x:formula1>Contracts!$A$4:$A$15</x:formula1>
    </x:dataValidation>
    <x:dataValidation type="list" sqref="C4:C100">
      <x:formula1>'Supply Catalog'!$A$4:$A$13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63b5ab420d4cd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46" t="str">
        <x:v>Settings and Lists</x:v>
      </x:c>
      <x:c r="B1" s="46" t="str"/>
      <x:c r="C1" s="46" t="str"/>
      <x:c r="D1" s="46" t="str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3">
      <x:c r="A3" s="24" t="str">
        <x:v>Service Type</x:v>
      </x:c>
      <x:c r="B3" s="24" t="str">
        <x:v>Usage Factor</x:v>
      </x:c>
      <x:c r="D3" s="24" t="str">
        <x:v>PO Status</x:v>
      </x:c>
      <x:c r="F3" s="24" t="str">
        <x:v>Priority</x:v>
      </x:c>
    </x:row>
    <x:row r="4">
      <x:c r="A4" t="str">
        <x:v>Office</x:v>
      </x:c>
      <x:c r="B4" t="n">
        <x:v>1</x:v>
      </x:c>
      <x:c r="D4" t="str">
        <x:v>Draft</x:v>
      </x:c>
      <x:c r="F4" t="str">
        <x:v>Low</x:v>
      </x:c>
    </x:row>
    <x:row r="5">
      <x:c r="A5" t="str">
        <x:v>Education</x:v>
      </x:c>
      <x:c r="B5" t="n">
        <x:v>2</x:v>
      </x:c>
      <x:c r="D5" t="str">
        <x:v>Submitted</x:v>
      </x:c>
      <x:c r="F5" t="str">
        <x:v>Normal</x:v>
      </x:c>
    </x:row>
    <x:row r="6">
      <x:c r="A6" t="str">
        <x:v>Medical</x:v>
      </x:c>
      <x:c r="B6" t="n">
        <x:v>2.5</x:v>
      </x:c>
      <x:c r="D6" t="str">
        <x:v>Confirmed</x:v>
      </x:c>
      <x:c r="F6" t="str">
        <x:v>High</x:v>
      </x:c>
    </x:row>
    <x:row r="7">
      <x:c r="A7" t="str">
        <x:v>Industrial</x:v>
      </x:c>
      <x:c r="B7" t="n">
        <x:v>1.7</x:v>
      </x:c>
      <x:c r="D7" t="str">
        <x:v>Received</x:v>
      </x:c>
      <x:c r="F7" t="str">
        <x:v>Critical</x:v>
      </x:c>
    </x:row>
    <x:row r="8">
      <x:c r="A8" t="str">
        <x:v>Retail</x:v>
      </x:c>
      <x:c r="B8" t="n">
        <x:v>1.2</x:v>
      </x:c>
      <x:c r="D8" t="str">
        <x:v>Delayed</x:v>
      </x:c>
    </x:row>
    <x:row r="9">
      <x:c r="A9" t="str">
        <x:v>Restroom Heavy</x:v>
      </x:c>
      <x:c r="B9" t="n">
        <x:v>2.2</x:v>
      </x:c>
      <x:c r="D9" t="str">
        <x:v>Cancelled</x:v>
      </x:c>
    </x:row>
    <x:row r="10">
      <x:c r="A10" t="str">
        <x:v>Light Office</x:v>
      </x:c>
      <x:c r="B10" t="n">
        <x:v>0.7</x:v>
      </x:c>
    </x:row>
  </x:sheetData>
  <x:pageMargins left="0.7" right="0.7" top="0.75" bottom="0.75" header="0.3" footer="0.3"/>
  <x:tableParts count="3">
    <x:tablePart xmlns:r="http://schemas.openxmlformats.org/officeDocument/2006/relationships" r:id="R05fd76c350694ddf"/>
    <x:tablePart xmlns:r="http://schemas.openxmlformats.org/officeDocument/2006/relationships" r:id="Rb289ccc59e8149d2"/>
    <x:tablePart xmlns:r="http://schemas.openxmlformats.org/officeDocument/2006/relationships" r:id="Rf67c5b7bfd25412e"/>
  </x:tableParts>
</x:worksheet>
</file>